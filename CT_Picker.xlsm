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Juan Gomez\Python Engineering Apps\CT_Picker\picker_Model\"/>
    </mc:Choice>
  </mc:AlternateContent>
  <xr:revisionPtr revIDLastSave="0" documentId="13_ncr:1_{94E76C8E-544C-44A8-A5AF-A1E5C2BC717D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Input_Data_HV_CTs" sheetId="1" r:id="rId1"/>
    <sheet name="Input_Data_LV_CTs" sheetId="4" r:id="rId2"/>
    <sheet name="Input_Data_TV_CTs" sheetId="6" r:id="rId3"/>
    <sheet name="RFQ" sheetId="3" r:id="rId4"/>
    <sheet name="CT std" sheetId="2" state="hidden" r:id="rId5"/>
  </sheets>
  <definedNames>
    <definedName name="_xleta.IF" hidden="1" xlm="1">#NAME?</definedName>
    <definedName name="_xleta.MAX" hidden="1" xlm="1">#NAME?</definedName>
    <definedName name="_xleta.NOMINAL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YPE" hidden="1" xlm="1">#NAME?</definedName>
    <definedName name="_xlpm.cls" hidden="1" xlm="1">#NAME?</definedName>
    <definedName name="_xlpm.qty" hidden="1" xlm="1">#NAME?</definedName>
    <definedName name="_xlpm.row" hidden="1" xlm="1">#NAME?</definedName>
    <definedName name="_xlpm.rowData" hidden="1" xlm="1">#NAME?</definedName>
    <definedName name="_xlpm.sat" hidden="1" xlm="1">#NAME?</definedName>
    <definedName name="_xlpm.tbl" hidden="1" xlm="1">#NAME?</definedName>
    <definedName name="_xlpm.todos" hidden="1" xlm="1">#NAME?</definedName>
    <definedName name="CT_APPLICATION_tb" localSheetId="1">Input_Data_LV_CTs!$AO$11:$AO$13</definedName>
    <definedName name="CT_APPLICATION_tb" localSheetId="2">Input_Data_TV_CTs!$AO$11:$AO$13</definedName>
    <definedName name="CT_APPLICATION_tb">Input_Data_HV_CTs!$AO$11:$AO$13</definedName>
    <definedName name="number_of_cts" localSheetId="1">Input_Data_LV_CTs!$D$8</definedName>
    <definedName name="number_of_cts" localSheetId="2">Input_Data_TV_CTs!$D$8</definedName>
    <definedName name="number_of_cts">Input_Data_HV_CTs!$D$8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6" i="1" l="1"/>
  <c r="M27" i="1"/>
  <c r="L34" i="1"/>
  <c r="C19" i="3" s="1"/>
  <c r="O30" i="1"/>
  <c r="F15" i="3" s="1"/>
  <c r="M25" i="1"/>
  <c r="O25" i="1" s="1"/>
  <c r="M28" i="1"/>
  <c r="M25" i="3"/>
  <c r="N25" i="4"/>
  <c r="D6" i="3"/>
  <c r="C9" i="3" s="1"/>
  <c r="D7" i="4"/>
  <c r="D7" i="6"/>
  <c r="C78" i="3"/>
  <c r="C77" i="3"/>
  <c r="C76" i="3"/>
  <c r="N28" i="4"/>
  <c r="N54" i="3" s="1"/>
  <c r="N27" i="4"/>
  <c r="N53" i="3" s="1"/>
  <c r="N26" i="4"/>
  <c r="M25" i="4"/>
  <c r="M51" i="3" s="1"/>
  <c r="M28" i="4"/>
  <c r="M27" i="4"/>
  <c r="M26" i="4"/>
  <c r="M52" i="3" s="1"/>
  <c r="M25" i="6"/>
  <c r="O25" i="6" s="1"/>
  <c r="M26" i="6"/>
  <c r="M79" i="3" s="1"/>
  <c r="M27" i="6"/>
  <c r="N25" i="6"/>
  <c r="M28" i="6"/>
  <c r="D71" i="3"/>
  <c r="E71" i="3"/>
  <c r="C71" i="3"/>
  <c r="N78" i="3"/>
  <c r="N79" i="3"/>
  <c r="N80" i="3"/>
  <c r="N81" i="3"/>
  <c r="L79" i="3"/>
  <c r="L80" i="3"/>
  <c r="L81" i="3"/>
  <c r="L78" i="3"/>
  <c r="D51" i="3"/>
  <c r="E51" i="3"/>
  <c r="C51" i="3"/>
  <c r="M66" i="3"/>
  <c r="M67" i="3"/>
  <c r="N67" i="3"/>
  <c r="O67" i="3"/>
  <c r="M68" i="3"/>
  <c r="N68" i="3"/>
  <c r="O68" i="3"/>
  <c r="M69" i="3"/>
  <c r="N69" i="3"/>
  <c r="O69" i="3"/>
  <c r="M70" i="3"/>
  <c r="N70" i="3"/>
  <c r="O70" i="3"/>
  <c r="M71" i="3"/>
  <c r="N71" i="3"/>
  <c r="O71" i="3"/>
  <c r="M72" i="3"/>
  <c r="N72" i="3"/>
  <c r="O72" i="3"/>
  <c r="M73" i="3"/>
  <c r="N73" i="3"/>
  <c r="O73" i="3"/>
  <c r="L64" i="3"/>
  <c r="L65" i="3"/>
  <c r="L66" i="3"/>
  <c r="L67" i="3"/>
  <c r="L68" i="3"/>
  <c r="L69" i="3"/>
  <c r="L70" i="3"/>
  <c r="L71" i="3"/>
  <c r="L72" i="3"/>
  <c r="L73" i="3"/>
  <c r="N51" i="3"/>
  <c r="N52" i="3"/>
  <c r="L52" i="3"/>
  <c r="L53" i="3"/>
  <c r="L54" i="3"/>
  <c r="L51" i="3"/>
  <c r="L24" i="3"/>
  <c r="L25" i="3"/>
  <c r="L26" i="3"/>
  <c r="L27" i="3"/>
  <c r="M40" i="3"/>
  <c r="N40" i="3"/>
  <c r="O40" i="3"/>
  <c r="M41" i="3"/>
  <c r="N41" i="3"/>
  <c r="O41" i="3"/>
  <c r="M42" i="3"/>
  <c r="N42" i="3"/>
  <c r="O42" i="3"/>
  <c r="M43" i="3"/>
  <c r="N43" i="3"/>
  <c r="O43" i="3"/>
  <c r="M44" i="3"/>
  <c r="N44" i="3"/>
  <c r="O44" i="3"/>
  <c r="M45" i="3"/>
  <c r="N45" i="3"/>
  <c r="O45" i="3"/>
  <c r="M46" i="3"/>
  <c r="N46" i="3"/>
  <c r="O46" i="3"/>
  <c r="L37" i="3"/>
  <c r="L38" i="3"/>
  <c r="L39" i="3"/>
  <c r="L40" i="3"/>
  <c r="L41" i="3"/>
  <c r="L42" i="3"/>
  <c r="L43" i="3"/>
  <c r="L44" i="3"/>
  <c r="L45" i="3"/>
  <c r="L46" i="3"/>
  <c r="C33" i="6"/>
  <c r="C119" i="6"/>
  <c r="C118" i="6"/>
  <c r="B120" i="6" s="1"/>
  <c r="F116" i="6"/>
  <c r="E116" i="6"/>
  <c r="D116" i="6"/>
  <c r="C116" i="6"/>
  <c r="F115" i="6"/>
  <c r="E115" i="6"/>
  <c r="D115" i="6"/>
  <c r="C115" i="6"/>
  <c r="F114" i="6"/>
  <c r="E114" i="6"/>
  <c r="D114" i="6"/>
  <c r="C114" i="6"/>
  <c r="F113" i="6"/>
  <c r="E113" i="6"/>
  <c r="D113" i="6"/>
  <c r="C113" i="6"/>
  <c r="F112" i="6"/>
  <c r="E112" i="6"/>
  <c r="D112" i="6"/>
  <c r="C112" i="6"/>
  <c r="F111" i="6"/>
  <c r="E111" i="6"/>
  <c r="D111" i="6"/>
  <c r="C111" i="6"/>
  <c r="E104" i="6"/>
  <c r="C93" i="6"/>
  <c r="C92" i="6"/>
  <c r="N31" i="6" s="1"/>
  <c r="E56" i="3" s="1"/>
  <c r="F90" i="6"/>
  <c r="E90" i="6"/>
  <c r="D90" i="6"/>
  <c r="C90" i="6"/>
  <c r="F89" i="6"/>
  <c r="E89" i="6"/>
  <c r="D89" i="6"/>
  <c r="C89" i="6"/>
  <c r="F88" i="6"/>
  <c r="E88" i="6"/>
  <c r="D88" i="6"/>
  <c r="C88" i="6"/>
  <c r="F87" i="6"/>
  <c r="E87" i="6"/>
  <c r="D87" i="6"/>
  <c r="C87" i="6"/>
  <c r="F86" i="6"/>
  <c r="E86" i="6"/>
  <c r="D86" i="6"/>
  <c r="C86" i="6"/>
  <c r="F85" i="6"/>
  <c r="E85" i="6"/>
  <c r="D85" i="6"/>
  <c r="C85" i="6"/>
  <c r="E78" i="6"/>
  <c r="C67" i="6"/>
  <c r="C66" i="6"/>
  <c r="M31" i="6" s="1"/>
  <c r="D56" i="3" s="1"/>
  <c r="F64" i="6"/>
  <c r="E64" i="6"/>
  <c r="D64" i="6"/>
  <c r="C64" i="6"/>
  <c r="F63" i="6"/>
  <c r="E63" i="6"/>
  <c r="D63" i="6"/>
  <c r="C63" i="6"/>
  <c r="F62" i="6"/>
  <c r="E62" i="6"/>
  <c r="D62" i="6"/>
  <c r="C62" i="6"/>
  <c r="F61" i="6"/>
  <c r="E61" i="6"/>
  <c r="D61" i="6"/>
  <c r="C61" i="6"/>
  <c r="F60" i="6"/>
  <c r="E60" i="6"/>
  <c r="D60" i="6"/>
  <c r="C60" i="6"/>
  <c r="F59" i="6"/>
  <c r="E59" i="6"/>
  <c r="D59" i="6"/>
  <c r="C59" i="6"/>
  <c r="E52" i="6"/>
  <c r="O44" i="6"/>
  <c r="F69" i="3" s="1"/>
  <c r="N44" i="6"/>
  <c r="E69" i="3" s="1"/>
  <c r="M44" i="6"/>
  <c r="D69" i="3" s="1"/>
  <c r="L44" i="6"/>
  <c r="C69" i="3" s="1"/>
  <c r="O43" i="6"/>
  <c r="F68" i="3" s="1"/>
  <c r="N43" i="6"/>
  <c r="E68" i="3" s="1"/>
  <c r="M43" i="6"/>
  <c r="D68" i="3" s="1"/>
  <c r="L43" i="6"/>
  <c r="C68" i="3" s="1"/>
  <c r="O42" i="6"/>
  <c r="F67" i="3" s="1"/>
  <c r="N42" i="6"/>
  <c r="E67" i="3" s="1"/>
  <c r="M42" i="6"/>
  <c r="D67" i="3" s="1"/>
  <c r="L42" i="6"/>
  <c r="C67" i="3" s="1"/>
  <c r="O41" i="6"/>
  <c r="F66" i="3" s="1"/>
  <c r="N41" i="6"/>
  <c r="E66" i="3" s="1"/>
  <c r="M41" i="6"/>
  <c r="D66" i="3" s="1"/>
  <c r="L41" i="6"/>
  <c r="C66" i="3" s="1"/>
  <c r="C41" i="6"/>
  <c r="L32" i="6" s="1"/>
  <c r="C57" i="3" s="1"/>
  <c r="O40" i="6"/>
  <c r="F65" i="3" s="1"/>
  <c r="N40" i="6"/>
  <c r="E65" i="3" s="1"/>
  <c r="M40" i="6"/>
  <c r="D65" i="3" s="1"/>
  <c r="L40" i="6"/>
  <c r="C65" i="3" s="1"/>
  <c r="C40" i="6"/>
  <c r="L31" i="6" s="1"/>
  <c r="C56" i="3" s="1"/>
  <c r="O39" i="6"/>
  <c r="F64" i="3" s="1"/>
  <c r="N39" i="6"/>
  <c r="E64" i="3" s="1"/>
  <c r="M39" i="6"/>
  <c r="D64" i="3" s="1"/>
  <c r="L39" i="6"/>
  <c r="C64" i="3" s="1"/>
  <c r="O38" i="6"/>
  <c r="F63" i="3" s="1"/>
  <c r="N38" i="6"/>
  <c r="E63" i="3" s="1"/>
  <c r="M38" i="6"/>
  <c r="D63" i="3" s="1"/>
  <c r="L38" i="6"/>
  <c r="C63" i="3" s="1"/>
  <c r="F38" i="6"/>
  <c r="E38" i="6"/>
  <c r="D38" i="6"/>
  <c r="C38" i="6"/>
  <c r="O37" i="6"/>
  <c r="F62" i="3" s="1"/>
  <c r="N37" i="6"/>
  <c r="E62" i="3" s="1"/>
  <c r="M37" i="6"/>
  <c r="D62" i="3" s="1"/>
  <c r="L37" i="6"/>
  <c r="C62" i="3" s="1"/>
  <c r="F37" i="6"/>
  <c r="E37" i="6"/>
  <c r="D37" i="6"/>
  <c r="C37" i="6"/>
  <c r="O36" i="6"/>
  <c r="F61" i="3" s="1"/>
  <c r="N36" i="6"/>
  <c r="E61" i="3" s="1"/>
  <c r="M36" i="6"/>
  <c r="D61" i="3" s="1"/>
  <c r="L36" i="6"/>
  <c r="C61" i="3" s="1"/>
  <c r="F36" i="6"/>
  <c r="E36" i="6"/>
  <c r="D36" i="6"/>
  <c r="C36" i="6"/>
  <c r="O35" i="6"/>
  <c r="F60" i="3" s="1"/>
  <c r="N35" i="6"/>
  <c r="E60" i="3" s="1"/>
  <c r="M35" i="6"/>
  <c r="D60" i="3" s="1"/>
  <c r="L35" i="6"/>
  <c r="C60" i="3" s="1"/>
  <c r="F35" i="6"/>
  <c r="E35" i="6"/>
  <c r="D35" i="6"/>
  <c r="C35" i="6"/>
  <c r="O34" i="6"/>
  <c r="F59" i="3" s="1"/>
  <c r="N34" i="6"/>
  <c r="E59" i="3" s="1"/>
  <c r="M34" i="6"/>
  <c r="D59" i="3" s="1"/>
  <c r="L34" i="6"/>
  <c r="C59" i="3" s="1"/>
  <c r="F34" i="6"/>
  <c r="E34" i="6"/>
  <c r="D34" i="6"/>
  <c r="C34" i="6"/>
  <c r="F33" i="6"/>
  <c r="E33" i="6"/>
  <c r="D33" i="6"/>
  <c r="O32" i="6"/>
  <c r="F57" i="3" s="1"/>
  <c r="O30" i="6"/>
  <c r="F55" i="3" s="1"/>
  <c r="N30" i="6"/>
  <c r="E55" i="3" s="1"/>
  <c r="M30" i="6"/>
  <c r="D55" i="3" s="1"/>
  <c r="L30" i="6"/>
  <c r="C55" i="3" s="1"/>
  <c r="N28" i="6"/>
  <c r="N27" i="6"/>
  <c r="N26" i="6"/>
  <c r="E26" i="6"/>
  <c r="D15" i="6"/>
  <c r="M33" i="6" s="1"/>
  <c r="D58" i="3" s="1"/>
  <c r="D14" i="6"/>
  <c r="D12" i="6"/>
  <c r="D10" i="6"/>
  <c r="D9" i="6"/>
  <c r="D11" i="6" s="1"/>
  <c r="D15" i="4"/>
  <c r="L33" i="4" s="1"/>
  <c r="C38" i="3" s="1"/>
  <c r="D14" i="4"/>
  <c r="D12" i="4"/>
  <c r="D10" i="4"/>
  <c r="D9" i="4"/>
  <c r="L35" i="1"/>
  <c r="C20" i="3" s="1"/>
  <c r="C119" i="4"/>
  <c r="C118" i="4"/>
  <c r="O32" i="4" s="1"/>
  <c r="F37" i="3" s="1"/>
  <c r="F116" i="4"/>
  <c r="E116" i="4"/>
  <c r="D116" i="4"/>
  <c r="C116" i="4"/>
  <c r="F115" i="4"/>
  <c r="E115" i="4"/>
  <c r="D115" i="4"/>
  <c r="C115" i="4"/>
  <c r="F114" i="4"/>
  <c r="E114" i="4"/>
  <c r="D114" i="4"/>
  <c r="C114" i="4"/>
  <c r="F113" i="4"/>
  <c r="E113" i="4"/>
  <c r="D113" i="4"/>
  <c r="C113" i="4"/>
  <c r="F112" i="4"/>
  <c r="E112" i="4"/>
  <c r="D112" i="4"/>
  <c r="C112" i="4"/>
  <c r="F111" i="4"/>
  <c r="E111" i="4"/>
  <c r="D111" i="4"/>
  <c r="C111" i="4"/>
  <c r="E104" i="4"/>
  <c r="C93" i="4"/>
  <c r="C92" i="4"/>
  <c r="N31" i="4" s="1"/>
  <c r="E36" i="3" s="1"/>
  <c r="F90" i="4"/>
  <c r="E90" i="4"/>
  <c r="D90" i="4"/>
  <c r="C90" i="4"/>
  <c r="F89" i="4"/>
  <c r="E89" i="4"/>
  <c r="D89" i="4"/>
  <c r="C89" i="4"/>
  <c r="F88" i="4"/>
  <c r="E88" i="4"/>
  <c r="D88" i="4"/>
  <c r="C88" i="4"/>
  <c r="F87" i="4"/>
  <c r="E87" i="4"/>
  <c r="D87" i="4"/>
  <c r="C87" i="4"/>
  <c r="F86" i="4"/>
  <c r="E86" i="4"/>
  <c r="D86" i="4"/>
  <c r="C86" i="4"/>
  <c r="F85" i="4"/>
  <c r="E85" i="4"/>
  <c r="D85" i="4"/>
  <c r="C85" i="4"/>
  <c r="E78" i="4"/>
  <c r="C67" i="4"/>
  <c r="C66" i="4"/>
  <c r="M31" i="4" s="1"/>
  <c r="D36" i="3" s="1"/>
  <c r="F64" i="4"/>
  <c r="E64" i="4"/>
  <c r="D64" i="4"/>
  <c r="C64" i="4"/>
  <c r="F63" i="4"/>
  <c r="E63" i="4"/>
  <c r="D63" i="4"/>
  <c r="C63" i="4"/>
  <c r="F62" i="4"/>
  <c r="E62" i="4"/>
  <c r="D62" i="4"/>
  <c r="C62" i="4"/>
  <c r="F61" i="4"/>
  <c r="E61" i="4"/>
  <c r="D61" i="4"/>
  <c r="C61" i="4"/>
  <c r="F60" i="4"/>
  <c r="E60" i="4"/>
  <c r="D60" i="4"/>
  <c r="C60" i="4"/>
  <c r="F59" i="4"/>
  <c r="E59" i="4"/>
  <c r="D59" i="4"/>
  <c r="C59" i="4"/>
  <c r="E52" i="4"/>
  <c r="O44" i="4"/>
  <c r="F49" i="3" s="1"/>
  <c r="N44" i="4"/>
  <c r="E49" i="3" s="1"/>
  <c r="M44" i="4"/>
  <c r="D49" i="3" s="1"/>
  <c r="L44" i="4"/>
  <c r="C49" i="3" s="1"/>
  <c r="O43" i="4"/>
  <c r="F48" i="3" s="1"/>
  <c r="N43" i="4"/>
  <c r="E48" i="3" s="1"/>
  <c r="M43" i="4"/>
  <c r="D48" i="3" s="1"/>
  <c r="L43" i="4"/>
  <c r="C48" i="3" s="1"/>
  <c r="O42" i="4"/>
  <c r="F47" i="3" s="1"/>
  <c r="N42" i="4"/>
  <c r="E47" i="3" s="1"/>
  <c r="M42" i="4"/>
  <c r="D47" i="3" s="1"/>
  <c r="L42" i="4"/>
  <c r="C47" i="3" s="1"/>
  <c r="O41" i="4"/>
  <c r="F46" i="3" s="1"/>
  <c r="N41" i="4"/>
  <c r="E46" i="3" s="1"/>
  <c r="M41" i="4"/>
  <c r="D46" i="3" s="1"/>
  <c r="L41" i="4"/>
  <c r="C46" i="3" s="1"/>
  <c r="C41" i="4"/>
  <c r="L32" i="4" s="1"/>
  <c r="C37" i="3" s="1"/>
  <c r="O40" i="4"/>
  <c r="F45" i="3" s="1"/>
  <c r="N40" i="4"/>
  <c r="E45" i="3" s="1"/>
  <c r="M40" i="4"/>
  <c r="D45" i="3" s="1"/>
  <c r="L40" i="4"/>
  <c r="C45" i="3" s="1"/>
  <c r="C40" i="4"/>
  <c r="O39" i="4"/>
  <c r="F44" i="3" s="1"/>
  <c r="N39" i="4"/>
  <c r="E44" i="3" s="1"/>
  <c r="M39" i="4"/>
  <c r="D44" i="3" s="1"/>
  <c r="L39" i="4"/>
  <c r="C44" i="3" s="1"/>
  <c r="O38" i="4"/>
  <c r="F43" i="3" s="1"/>
  <c r="N38" i="4"/>
  <c r="E43" i="3" s="1"/>
  <c r="M38" i="4"/>
  <c r="D43" i="3" s="1"/>
  <c r="L38" i="4"/>
  <c r="C43" i="3" s="1"/>
  <c r="F38" i="4"/>
  <c r="E38" i="4"/>
  <c r="D38" i="4"/>
  <c r="C38" i="4"/>
  <c r="O37" i="4"/>
  <c r="F42" i="3" s="1"/>
  <c r="N37" i="4"/>
  <c r="E42" i="3" s="1"/>
  <c r="M37" i="4"/>
  <c r="D42" i="3" s="1"/>
  <c r="L37" i="4"/>
  <c r="C42" i="3" s="1"/>
  <c r="F37" i="4"/>
  <c r="E37" i="4"/>
  <c r="D37" i="4"/>
  <c r="C37" i="4"/>
  <c r="O36" i="4"/>
  <c r="F41" i="3" s="1"/>
  <c r="N36" i="4"/>
  <c r="E41" i="3" s="1"/>
  <c r="M36" i="4"/>
  <c r="D41" i="3" s="1"/>
  <c r="L36" i="4"/>
  <c r="C41" i="3" s="1"/>
  <c r="F36" i="4"/>
  <c r="E36" i="4"/>
  <c r="D36" i="4"/>
  <c r="C36" i="4"/>
  <c r="O35" i="4"/>
  <c r="F40" i="3" s="1"/>
  <c r="N35" i="4"/>
  <c r="E40" i="3" s="1"/>
  <c r="M35" i="4"/>
  <c r="D40" i="3" s="1"/>
  <c r="L35" i="4"/>
  <c r="C40" i="3" s="1"/>
  <c r="F35" i="4"/>
  <c r="E35" i="4"/>
  <c r="D35" i="4"/>
  <c r="C35" i="4"/>
  <c r="O34" i="4"/>
  <c r="F39" i="3" s="1"/>
  <c r="N34" i="4"/>
  <c r="E39" i="3" s="1"/>
  <c r="M34" i="4"/>
  <c r="D39" i="3" s="1"/>
  <c r="L34" i="4"/>
  <c r="C39" i="3" s="1"/>
  <c r="F34" i="4"/>
  <c r="E34" i="4"/>
  <c r="D34" i="4"/>
  <c r="C34" i="4"/>
  <c r="O33" i="4"/>
  <c r="F38" i="3" s="1"/>
  <c r="N33" i="4"/>
  <c r="E38" i="3" s="1"/>
  <c r="M33" i="4"/>
  <c r="D38" i="3" s="1"/>
  <c r="F33" i="4"/>
  <c r="E33" i="4"/>
  <c r="D33" i="4"/>
  <c r="C33" i="4"/>
  <c r="O30" i="4"/>
  <c r="F35" i="3" s="1"/>
  <c r="N30" i="4"/>
  <c r="E35" i="3" s="1"/>
  <c r="M30" i="4"/>
  <c r="D35" i="3" s="1"/>
  <c r="L30" i="4"/>
  <c r="C35" i="3" s="1"/>
  <c r="E26" i="4"/>
  <c r="O34" i="1"/>
  <c r="F19" i="3" s="1"/>
  <c r="N34" i="1"/>
  <c r="E19" i="3" s="1"/>
  <c r="M34" i="1"/>
  <c r="D19" i="3" s="1"/>
  <c r="D33" i="1"/>
  <c r="L33" i="1"/>
  <c r="C18" i="3" s="1"/>
  <c r="C8" i="3"/>
  <c r="E31" i="3"/>
  <c r="D31" i="3"/>
  <c r="C31" i="3"/>
  <c r="L15" i="3"/>
  <c r="L16" i="3"/>
  <c r="L17" i="3"/>
  <c r="L18" i="3"/>
  <c r="M18" i="3"/>
  <c r="N18" i="3"/>
  <c r="O18" i="3"/>
  <c r="L19" i="3"/>
  <c r="M19" i="3"/>
  <c r="N19" i="3"/>
  <c r="O19" i="3"/>
  <c r="N25" i="1"/>
  <c r="N24" i="3" s="1"/>
  <c r="N28" i="1"/>
  <c r="N27" i="1"/>
  <c r="O44" i="1"/>
  <c r="F29" i="3" s="1"/>
  <c r="O43" i="1"/>
  <c r="F28" i="3" s="1"/>
  <c r="O42" i="1"/>
  <c r="F27" i="3" s="1"/>
  <c r="O41" i="1"/>
  <c r="F26" i="3" s="1"/>
  <c r="O40" i="1"/>
  <c r="F25" i="3" s="1"/>
  <c r="O39" i="1"/>
  <c r="F24" i="3" s="1"/>
  <c r="O38" i="1"/>
  <c r="F23" i="3" s="1"/>
  <c r="O37" i="1"/>
  <c r="F22" i="3" s="1"/>
  <c r="O36" i="1"/>
  <c r="F21" i="3" s="1"/>
  <c r="O35" i="1"/>
  <c r="F20" i="3" s="1"/>
  <c r="O33" i="1"/>
  <c r="F18" i="3" s="1"/>
  <c r="N44" i="1"/>
  <c r="E29" i="3" s="1"/>
  <c r="N43" i="1"/>
  <c r="E28" i="3" s="1"/>
  <c r="N42" i="1"/>
  <c r="E27" i="3" s="1"/>
  <c r="N41" i="1"/>
  <c r="E26" i="3" s="1"/>
  <c r="N40" i="1"/>
  <c r="E25" i="3" s="1"/>
  <c r="N39" i="1"/>
  <c r="E24" i="3" s="1"/>
  <c r="N38" i="1"/>
  <c r="E23" i="3" s="1"/>
  <c r="N37" i="1"/>
  <c r="E22" i="3" s="1"/>
  <c r="N36" i="1"/>
  <c r="E21" i="3" s="1"/>
  <c r="N35" i="1"/>
  <c r="E20" i="3" s="1"/>
  <c r="N33" i="1"/>
  <c r="E18" i="3" s="1"/>
  <c r="D112" i="1"/>
  <c r="D111" i="1"/>
  <c r="F111" i="1"/>
  <c r="F112" i="1"/>
  <c r="F113" i="1"/>
  <c r="F114" i="1"/>
  <c r="F115" i="1"/>
  <c r="F116" i="1"/>
  <c r="D113" i="1"/>
  <c r="D114" i="1"/>
  <c r="D115" i="1"/>
  <c r="D116" i="1"/>
  <c r="E112" i="1"/>
  <c r="E113" i="1"/>
  <c r="E114" i="1"/>
  <c r="E115" i="1"/>
  <c r="E116" i="1"/>
  <c r="E111" i="1"/>
  <c r="C111" i="1"/>
  <c r="C112" i="1"/>
  <c r="C113" i="1"/>
  <c r="C114" i="1"/>
  <c r="C115" i="1"/>
  <c r="C116" i="1"/>
  <c r="C119" i="1"/>
  <c r="C118" i="1"/>
  <c r="B120" i="1" s="1"/>
  <c r="E104" i="1"/>
  <c r="N30" i="1"/>
  <c r="E15" i="3" s="1"/>
  <c r="M41" i="1"/>
  <c r="D26" i="3" s="1"/>
  <c r="M44" i="1"/>
  <c r="D29" i="3" s="1"/>
  <c r="M43" i="1"/>
  <c r="D28" i="3" s="1"/>
  <c r="M42" i="1"/>
  <c r="D27" i="3" s="1"/>
  <c r="M40" i="1"/>
  <c r="D25" i="3" s="1"/>
  <c r="M39" i="1"/>
  <c r="D24" i="3" s="1"/>
  <c r="M38" i="1"/>
  <c r="D23" i="3" s="1"/>
  <c r="M37" i="1"/>
  <c r="D22" i="3" s="1"/>
  <c r="M36" i="1"/>
  <c r="D21" i="3" s="1"/>
  <c r="M35" i="1"/>
  <c r="D20" i="3" s="1"/>
  <c r="M33" i="1"/>
  <c r="D18" i="3" s="1"/>
  <c r="M30" i="1"/>
  <c r="D15" i="3" s="1"/>
  <c r="L30" i="1"/>
  <c r="C15" i="3" s="1"/>
  <c r="D86" i="1"/>
  <c r="D87" i="1"/>
  <c r="D88" i="1"/>
  <c r="D89" i="1"/>
  <c r="C86" i="1"/>
  <c r="C87" i="1"/>
  <c r="C88" i="1"/>
  <c r="C89" i="1"/>
  <c r="C90" i="1"/>
  <c r="D90" i="1"/>
  <c r="E86" i="1"/>
  <c r="E87" i="1"/>
  <c r="E88" i="1"/>
  <c r="E89" i="1"/>
  <c r="E90" i="1"/>
  <c r="F86" i="1"/>
  <c r="F87" i="1"/>
  <c r="F88" i="1"/>
  <c r="F89" i="1"/>
  <c r="F90" i="1"/>
  <c r="F85" i="1"/>
  <c r="E85" i="1"/>
  <c r="D85" i="1"/>
  <c r="C85" i="1"/>
  <c r="E59" i="1"/>
  <c r="F59" i="1"/>
  <c r="C93" i="1"/>
  <c r="C92" i="1"/>
  <c r="B94" i="1" s="1"/>
  <c r="E78" i="1"/>
  <c r="L39" i="1"/>
  <c r="C24" i="3" s="1"/>
  <c r="L43" i="1"/>
  <c r="C28" i="3" s="1"/>
  <c r="L42" i="1"/>
  <c r="C27" i="3" s="1"/>
  <c r="L41" i="1"/>
  <c r="C26" i="3" s="1"/>
  <c r="L40" i="1"/>
  <c r="C25" i="3" s="1"/>
  <c r="L38" i="1"/>
  <c r="C23" i="3" s="1"/>
  <c r="L44" i="1"/>
  <c r="C29" i="3" s="1"/>
  <c r="L37" i="1"/>
  <c r="C22" i="3" s="1"/>
  <c r="L36" i="1"/>
  <c r="C21" i="3" s="1"/>
  <c r="C59" i="1"/>
  <c r="C60" i="1"/>
  <c r="C61" i="1"/>
  <c r="C62" i="1"/>
  <c r="C63" i="1"/>
  <c r="C64" i="1"/>
  <c r="D60" i="1"/>
  <c r="D61" i="1"/>
  <c r="D62" i="1"/>
  <c r="D63" i="1"/>
  <c r="D64" i="1"/>
  <c r="D59" i="1"/>
  <c r="E60" i="1"/>
  <c r="E61" i="1"/>
  <c r="E62" i="1"/>
  <c r="E63" i="1"/>
  <c r="E64" i="1"/>
  <c r="F60" i="1"/>
  <c r="F61" i="1"/>
  <c r="F62" i="1"/>
  <c r="F63" i="1"/>
  <c r="F64" i="1"/>
  <c r="C67" i="1"/>
  <c r="C66" i="1"/>
  <c r="B68" i="1" s="1"/>
  <c r="E52" i="1"/>
  <c r="C33" i="1"/>
  <c r="C34" i="1"/>
  <c r="C35" i="1"/>
  <c r="C36" i="1"/>
  <c r="C37" i="1"/>
  <c r="C38" i="1"/>
  <c r="F33" i="1"/>
  <c r="E33" i="1"/>
  <c r="F34" i="1"/>
  <c r="F35" i="1"/>
  <c r="F36" i="1"/>
  <c r="F37" i="1"/>
  <c r="F38" i="1"/>
  <c r="E34" i="1"/>
  <c r="E35" i="1"/>
  <c r="E36" i="1"/>
  <c r="E37" i="1"/>
  <c r="E38" i="1"/>
  <c r="D38" i="1"/>
  <c r="D36" i="1"/>
  <c r="D35" i="1"/>
  <c r="D34" i="1"/>
  <c r="D37" i="1"/>
  <c r="E26" i="1"/>
  <c r="D23" i="2"/>
  <c r="C40" i="1"/>
  <c r="L31" i="1" s="1"/>
  <c r="C41" i="1"/>
  <c r="L32" i="1" s="1"/>
  <c r="C17" i="3" s="1"/>
  <c r="C40" i="2"/>
  <c r="D31" i="2"/>
  <c r="E31" i="2"/>
  <c r="C31" i="2"/>
  <c r="D35" i="2"/>
  <c r="D34" i="2"/>
  <c r="E28" i="2"/>
  <c r="E29" i="2" s="1"/>
  <c r="D37" i="2" s="1"/>
  <c r="D28" i="2"/>
  <c r="D30" i="2" s="1"/>
  <c r="C28" i="2"/>
  <c r="C29" i="2" s="1"/>
  <c r="AI6" i="2"/>
  <c r="D24" i="2"/>
  <c r="C9" i="2"/>
  <c r="AM15" i="2"/>
  <c r="AM16" i="2"/>
  <c r="AM17" i="2"/>
  <c r="AM18" i="2"/>
  <c r="AM19" i="2"/>
  <c r="AM20" i="2"/>
  <c r="AM14" i="2"/>
  <c r="C8" i="2" s="1"/>
  <c r="C10" i="2" s="1"/>
  <c r="C14" i="2"/>
  <c r="C12" i="2"/>
  <c r="C11" i="2"/>
  <c r="AH15" i="2"/>
  <c r="AH16" i="2"/>
  <c r="AH17" i="2"/>
  <c r="AH18" i="2"/>
  <c r="AH19" i="2"/>
  <c r="AH20" i="2"/>
  <c r="AH14" i="2"/>
  <c r="D13" i="1"/>
  <c r="D11" i="1"/>
  <c r="N32" i="6" l="1"/>
  <c r="E57" i="3" s="1"/>
  <c r="O27" i="1"/>
  <c r="O26" i="3" s="1"/>
  <c r="O28" i="1"/>
  <c r="O27" i="3" s="1"/>
  <c r="O26" i="1"/>
  <c r="O25" i="3" s="1"/>
  <c r="D13" i="4"/>
  <c r="L31" i="4"/>
  <c r="C36" i="3" s="1"/>
  <c r="N25" i="3"/>
  <c r="N27" i="3"/>
  <c r="N26" i="3"/>
  <c r="O24" i="3"/>
  <c r="O25" i="4"/>
  <c r="O51" i="3" s="1"/>
  <c r="O27" i="4"/>
  <c r="O53" i="3" s="1"/>
  <c r="O28" i="4"/>
  <c r="O54" i="3" s="1"/>
  <c r="O26" i="4"/>
  <c r="O52" i="3" s="1"/>
  <c r="D13" i="6"/>
  <c r="N32" i="4"/>
  <c r="E37" i="3" s="1"/>
  <c r="B68" i="4"/>
  <c r="M27" i="3"/>
  <c r="M26" i="3"/>
  <c r="M24" i="3"/>
  <c r="M53" i="3"/>
  <c r="M78" i="3"/>
  <c r="M81" i="3"/>
  <c r="M80" i="3"/>
  <c r="O26" i="6"/>
  <c r="O79" i="3" s="1"/>
  <c r="M10" i="4" a="1"/>
  <c r="M54" i="3"/>
  <c r="O31" i="6"/>
  <c r="F56" i="3" s="1"/>
  <c r="M32" i="6"/>
  <c r="D57" i="3" s="1"/>
  <c r="O27" i="6"/>
  <c r="O80" i="3" s="1"/>
  <c r="O28" i="6"/>
  <c r="O81" i="3" s="1"/>
  <c r="O78" i="3"/>
  <c r="O45" i="6"/>
  <c r="F70" i="3" s="1"/>
  <c r="L45" i="6"/>
  <c r="C70" i="3" s="1"/>
  <c r="N45" i="6"/>
  <c r="E70" i="3" s="1"/>
  <c r="M45" i="6"/>
  <c r="D70" i="3" s="1"/>
  <c r="L10" i="6" a="1"/>
  <c r="L10" i="6" s="1"/>
  <c r="L63" i="3" s="1"/>
  <c r="M10" i="6" a="1"/>
  <c r="O10" i="6" a="1"/>
  <c r="N10" i="6" a="1"/>
  <c r="L33" i="6"/>
  <c r="C58" i="3" s="1"/>
  <c r="N33" i="6"/>
  <c r="E58" i="3" s="1"/>
  <c r="B68" i="6"/>
  <c r="O33" i="6"/>
  <c r="F58" i="3" s="1"/>
  <c r="B42" i="6"/>
  <c r="B94" i="6"/>
  <c r="O31" i="4"/>
  <c r="F36" i="3" s="1"/>
  <c r="D11" i="4"/>
  <c r="B120" i="4"/>
  <c r="O45" i="4"/>
  <c r="F50" i="3" s="1"/>
  <c r="B94" i="4"/>
  <c r="L10" i="4" a="1"/>
  <c r="L10" i="4" s="1"/>
  <c r="L36" i="3" s="1"/>
  <c r="L45" i="4"/>
  <c r="M45" i="4"/>
  <c r="D50" i="3" s="1"/>
  <c r="N45" i="4"/>
  <c r="E50" i="3" s="1"/>
  <c r="N10" i="4" a="1"/>
  <c r="N39" i="3" s="1"/>
  <c r="O10" i="4" a="1"/>
  <c r="O39" i="3" s="1"/>
  <c r="O31" i="1"/>
  <c r="F16" i="3" s="1"/>
  <c r="M32" i="4"/>
  <c r="D37" i="3" s="1"/>
  <c r="B42" i="4"/>
  <c r="M31" i="1"/>
  <c r="D16" i="3" s="1"/>
  <c r="L10" i="1" a="1"/>
  <c r="M32" i="1"/>
  <c r="D17" i="3" s="1"/>
  <c r="D36" i="2"/>
  <c r="E32" i="2"/>
  <c r="E33" i="2" s="1"/>
  <c r="D32" i="2"/>
  <c r="D33" i="2" s="1"/>
  <c r="O45" i="1"/>
  <c r="F30" i="3" s="1"/>
  <c r="N45" i="1"/>
  <c r="E30" i="3" s="1"/>
  <c r="N32" i="1"/>
  <c r="E17" i="3" s="1"/>
  <c r="O32" i="1"/>
  <c r="F17" i="3" s="1"/>
  <c r="N31" i="1"/>
  <c r="E16" i="3" s="1"/>
  <c r="O10" i="1" a="1"/>
  <c r="C16" i="3"/>
  <c r="N10" i="1" a="1"/>
  <c r="M10" i="1" a="1"/>
  <c r="M45" i="1"/>
  <c r="D30" i="3" s="1"/>
  <c r="L45" i="1"/>
  <c r="C30" i="3" s="1"/>
  <c r="B42" i="1"/>
  <c r="C32" i="2"/>
  <c r="C33" i="2" s="1"/>
  <c r="C41" i="2"/>
  <c r="E30" i="2"/>
  <c r="D38" i="2" s="1"/>
  <c r="C48" i="2" s="1"/>
  <c r="C13" i="2"/>
  <c r="D29" i="2"/>
  <c r="C30" i="2"/>
  <c r="C45" i="2" s="1"/>
  <c r="M10" i="4" l="1"/>
  <c r="M36" i="3" s="1"/>
  <c r="M39" i="3"/>
  <c r="C50" i="3"/>
  <c r="O46" i="4"/>
  <c r="F51" i="3" s="1"/>
  <c r="M37" i="3"/>
  <c r="M38" i="3"/>
  <c r="O10" i="4"/>
  <c r="O36" i="3" s="1"/>
  <c r="O37" i="3"/>
  <c r="O38" i="3"/>
  <c r="N10" i="4"/>
  <c r="N36" i="3" s="1"/>
  <c r="N37" i="3"/>
  <c r="N38" i="3"/>
  <c r="N10" i="6"/>
  <c r="N63" i="3" s="1"/>
  <c r="N64" i="3"/>
  <c r="N65" i="3"/>
  <c r="N66" i="3"/>
  <c r="O10" i="6"/>
  <c r="O63" i="3" s="1"/>
  <c r="O64" i="3"/>
  <c r="O65" i="3"/>
  <c r="O66" i="3"/>
  <c r="M10" i="6"/>
  <c r="M63" i="3" s="1"/>
  <c r="M64" i="3"/>
  <c r="M65" i="3"/>
  <c r="O46" i="6"/>
  <c r="F71" i="3" s="1"/>
  <c r="L10" i="1"/>
  <c r="L9" i="3" s="1"/>
  <c r="L10" i="3"/>
  <c r="L12" i="3"/>
  <c r="L13" i="3"/>
  <c r="L14" i="3"/>
  <c r="L11" i="3"/>
  <c r="O15" i="3"/>
  <c r="O16" i="3"/>
  <c r="O17" i="3"/>
  <c r="O14" i="3"/>
  <c r="N13" i="3"/>
  <c r="N15" i="3"/>
  <c r="N16" i="3"/>
  <c r="N17" i="3"/>
  <c r="N14" i="3"/>
  <c r="M15" i="3"/>
  <c r="M17" i="3"/>
  <c r="M14" i="3"/>
  <c r="M16" i="3"/>
  <c r="O12" i="3"/>
  <c r="O13" i="3"/>
  <c r="M12" i="3"/>
  <c r="M13" i="3"/>
  <c r="N10" i="1"/>
  <c r="N9" i="3" s="1"/>
  <c r="N12" i="3"/>
  <c r="N11" i="3"/>
  <c r="N10" i="3"/>
  <c r="O10" i="1"/>
  <c r="O9" i="3" s="1"/>
  <c r="O11" i="3"/>
  <c r="O10" i="3"/>
  <c r="M10" i="1"/>
  <c r="M9" i="3" s="1"/>
  <c r="M10" i="3"/>
  <c r="M11" i="3"/>
  <c r="O46" i="1"/>
  <c r="F31" i="3" s="1"/>
  <c r="F7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Gomez</author>
  </authors>
  <commentList>
    <comment ref="D8" authorId="0" shapeId="0" xr:uid="{BB772E23-BBFB-46AC-8C96-BB3B92E4422F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Each group represents a different CT and must contain its own complete data. A maximum of 5 groups is allowed.</t>
        </r>
      </text>
    </comment>
    <comment ref="D10" authorId="0" shapeId="0" xr:uid="{9C9EDC59-AECB-4A51-9310-AD19DF98FD23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Ph-Ph Voltage</t>
        </r>
      </text>
    </comment>
    <comment ref="D12" authorId="0" shapeId="0" xr:uid="{8D1B67F2-2DE2-497C-A3A0-DC18E0052B8A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Ph-Ph Voltage</t>
        </r>
      </text>
    </comment>
    <comment ref="B23" authorId="0" shapeId="0" xr:uid="{8F060934-DC54-4DFC-9CD2-F89D000B336B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If no description please leave a dash -</t>
        </r>
      </text>
    </comment>
    <comment ref="B25" authorId="0" shapeId="0" xr:uid="{ED975094-E19C-49F1-9B82-56D50450CC4A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Every CT with different ratio or accuracy is unique.</t>
        </r>
      </text>
    </comment>
    <comment ref="B26" authorId="0" shapeId="0" xr:uid="{22D29DEC-5D0A-4D8B-8B58-AEC99DC1B0F5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Predefined by customer: if chosen this, it is necessary to Override the Ratio and accuracy below.
</t>
        </r>
      </text>
    </comment>
    <comment ref="B33" authorId="0" shapeId="0" xr:uid="{9AAFEFD5-2190-4E21-AB93-0EB15A3FDD82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The CT individual TAG is always: 
CT TAG GROUP + Ø + #series</t>
        </r>
      </text>
    </comment>
    <comment ref="K35" authorId="0" shapeId="0" xr:uid="{7176B259-3CAA-4ABC-819F-7545D21637F2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Make sure the ODs are the same
</t>
        </r>
      </text>
    </comment>
    <comment ref="B40" authorId="0" shapeId="0" xr:uid="{9F3A25FB-3809-449D-B2FD-7F6FB6A59082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Ratio Override only works when the CT application is predefined by customer.</t>
        </r>
      </text>
    </comment>
    <comment ref="B41" authorId="0" shapeId="0" xr:uid="{B086B91E-97C1-4C5B-9E00-DE4E8F95AD5A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Accuracy Override only works when the CT application is predefined by customer.</t>
        </r>
      </text>
    </comment>
    <comment ref="B43" authorId="0" shapeId="0" xr:uid="{03398948-08D9-4098-8A7A-074C19BE4D4B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  <comment ref="B69" authorId="0" shapeId="0" xr:uid="{F2287179-09D3-45A2-824C-4E89B5AD63E0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  <comment ref="B95" authorId="0" shapeId="0" xr:uid="{A6EAABFE-6990-4DC3-BAA9-E856B2197EEA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  <comment ref="B121" authorId="0" shapeId="0" xr:uid="{C1023734-9D71-48ED-9BA2-A23E4AB3D09F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Gomez</author>
  </authors>
  <commentList>
    <comment ref="B23" authorId="0" shapeId="0" xr:uid="{4C4DFFC7-B207-434D-9AD2-9CC72F45F0B0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If no description please leave a dash -</t>
        </r>
      </text>
    </comment>
    <comment ref="B25" authorId="0" shapeId="0" xr:uid="{68E71395-D9A6-4716-9F4A-592092B2A317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Every CT with different ratio or accuracy must belong to an unique CT TAG group</t>
        </r>
      </text>
    </comment>
    <comment ref="B33" authorId="0" shapeId="0" xr:uid="{9273FE79-8994-465C-9537-D57CE1737164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The CT individual TAG is always: 
CT TAG GROUP + Ø + #series</t>
        </r>
      </text>
    </comment>
    <comment ref="K35" authorId="0" shapeId="0" xr:uid="{03B2AC4D-EFE9-4602-9ED8-54469980071E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Make sure the ODs are the same
</t>
        </r>
      </text>
    </comment>
    <comment ref="B40" authorId="0" shapeId="0" xr:uid="{47C3E20E-AF2E-4CCC-B212-D656769B370C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Ratio Override only works when the CT application is predefined by customer.</t>
        </r>
      </text>
    </comment>
    <comment ref="B41" authorId="0" shapeId="0" xr:uid="{DF469F23-6B2A-4F90-8DE6-0C9706DDAB19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Ratio Override only works when the CT application is predefined by customer.</t>
        </r>
      </text>
    </comment>
    <comment ref="B43" authorId="0" shapeId="0" xr:uid="{75141B11-7B02-4D5D-8E05-8C03BD8D6FF5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  <comment ref="B69" authorId="0" shapeId="0" xr:uid="{26F76310-EEE8-4C94-B18E-55D89E0C5F0F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  <comment ref="B95" authorId="0" shapeId="0" xr:uid="{923F7894-401D-458B-B9C1-158BED8FC8F7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  <comment ref="B121" authorId="0" shapeId="0" xr:uid="{0AEF2F81-D8BA-4A8A-9122-4FED8F1BE47A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Gomez</author>
  </authors>
  <commentList>
    <comment ref="B23" authorId="0" shapeId="0" xr:uid="{A6780109-7311-481E-B9C1-A56029783E5F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If no description please leave a dash -</t>
        </r>
      </text>
    </comment>
    <comment ref="B25" authorId="0" shapeId="0" xr:uid="{8B732974-FF0B-4A41-AD3D-41791FEFD79D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Every CT with different ratio or accuracy must belong to an unique CT TAG group</t>
        </r>
      </text>
    </comment>
    <comment ref="B33" authorId="0" shapeId="0" xr:uid="{4084D453-A8B4-4309-A117-5AB061F69538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The CT individual TAG is always: 
CT TAG GROUP + Ø + #series</t>
        </r>
      </text>
    </comment>
    <comment ref="K35" authorId="0" shapeId="0" xr:uid="{6769A993-2B25-4E56-8D50-4956136CEB32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Make sure the ODs are the same
</t>
        </r>
      </text>
    </comment>
    <comment ref="B40" authorId="0" shapeId="0" xr:uid="{044B3652-BA0C-4BB7-8C24-08DF25DC442E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Ratio Override only works when the CT application is predefined by customer.</t>
        </r>
      </text>
    </comment>
    <comment ref="B41" authorId="0" shapeId="0" xr:uid="{20332ADB-925F-495D-91CB-1F9392FB514A}">
      <text>
        <r>
          <rPr>
            <b/>
            <sz val="9"/>
            <color indexed="81"/>
            <rFont val="Tahoma"/>
            <charset val="1"/>
          </rPr>
          <t>Juan Gomez:</t>
        </r>
        <r>
          <rPr>
            <sz val="9"/>
            <color indexed="81"/>
            <rFont val="Tahoma"/>
            <charset val="1"/>
          </rPr>
          <t xml:space="preserve">
Ratio Override only works when the CT application is predefined by customer.</t>
        </r>
      </text>
    </comment>
    <comment ref="B43" authorId="0" shapeId="0" xr:uid="{7B22F205-ADFD-4D53-8FD3-21480B596F68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  <comment ref="B69" authorId="0" shapeId="0" xr:uid="{CD79E2BC-BF3C-44A0-A79C-65C1C91C39FC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  <comment ref="B95" authorId="0" shapeId="0" xr:uid="{A186C5BF-23A8-42F9-AFE4-97A00FC017C8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  <comment ref="B121" authorId="0" shapeId="0" xr:uid="{F991B273-B0A5-4CC3-88D4-AD156F6444A9}">
      <text>
        <r>
          <rPr>
            <b/>
            <sz val="9"/>
            <color indexed="81"/>
            <rFont val="Tahoma"/>
            <family val="2"/>
          </rPr>
          <t xml:space="preserve">Juan Gomez:
</t>
        </r>
        <r>
          <rPr>
            <sz val="9"/>
            <color indexed="81"/>
            <rFont val="Tahoma"/>
            <family val="2"/>
          </rPr>
          <t>Under continuous operation @ (N) times the rated primary current, the winding hotspot temperature will not exceed 95 °C.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Gomez</author>
  </authors>
  <commentList>
    <comment ref="B20" authorId="0" shapeId="0" xr:uid="{C03C0007-2372-4CE7-A877-CDE4F5C48368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Make sure the ODs are the same
</t>
        </r>
      </text>
    </comment>
    <comment ref="B40" authorId="0" shapeId="0" xr:uid="{33C2AE50-8894-40E4-B811-C5CDCE4360B7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Make sure the ODs are the same
</t>
        </r>
      </text>
    </comment>
    <comment ref="B60" authorId="0" shapeId="0" xr:uid="{FDF4E4B6-9C80-4E06-8BB4-34A1452B698C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Make sure the ODs are the same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Gomez</author>
  </authors>
  <commentList>
    <comment ref="D5" authorId="0" shapeId="0" xr:uid="{FEF97AC4-1586-4E56-85AE-339F6AE3D1FC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This value doesn’t depend on the error; it only indicates how much load the CT can bear
.</t>
        </r>
      </text>
    </comment>
    <comment ref="C6" authorId="0" shapeId="0" xr:uid="{EC5EEE1B-99A3-4DE9-8E43-292A1DA15A5A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Default Value</t>
        </r>
      </text>
    </comment>
    <comment ref="C7" authorId="0" shapeId="0" xr:uid="{D44E89E6-C524-4942-B3C5-E61FF096B988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Default Value</t>
        </r>
      </text>
    </comment>
    <comment ref="D22" authorId="0" shapeId="0" xr:uid="{F74E0F76-9352-4374-B420-9D2EB4316289}">
      <text>
        <r>
          <rPr>
            <b/>
            <sz val="9"/>
            <color indexed="81"/>
            <rFont val="Tahoma"/>
            <family val="2"/>
          </rPr>
          <t>Juan Gomez:</t>
        </r>
        <r>
          <rPr>
            <sz val="9"/>
            <color indexed="81"/>
            <rFont val="Tahoma"/>
            <family val="2"/>
          </rPr>
          <t xml:space="preserve">
Default Value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<sst xmlns="http://schemas.openxmlformats.org/spreadsheetml/2006/main" count="766" uniqueCount="197">
  <si>
    <t>Description</t>
  </si>
  <si>
    <t>Cooling Class</t>
  </si>
  <si>
    <t>Is bushing angled?</t>
  </si>
  <si>
    <t>Standard</t>
  </si>
  <si>
    <t>WTI</t>
  </si>
  <si>
    <t>LDC</t>
  </si>
  <si>
    <t>H1</t>
  </si>
  <si>
    <t>H2</t>
  </si>
  <si>
    <t>H3</t>
  </si>
  <si>
    <t>CT Application</t>
  </si>
  <si>
    <t>CT Type</t>
  </si>
  <si>
    <t>CT_APP</t>
  </si>
  <si>
    <t>STANDARDS</t>
  </si>
  <si>
    <t>CSA</t>
  </si>
  <si>
    <t>ANSI</t>
  </si>
  <si>
    <t>IEC</t>
  </si>
  <si>
    <t>Predefined</t>
  </si>
  <si>
    <t>CT TYPE</t>
  </si>
  <si>
    <t>Protection</t>
  </si>
  <si>
    <t>Metering</t>
  </si>
  <si>
    <t>CT Ratio</t>
  </si>
  <si>
    <t>CT Accuracy</t>
  </si>
  <si>
    <t>CT Frequency</t>
  </si>
  <si>
    <t>Frequency</t>
  </si>
  <si>
    <t>YES/NO</t>
  </si>
  <si>
    <t>YES</t>
  </si>
  <si>
    <t>NO</t>
  </si>
  <si>
    <t>RATIO_TYPE</t>
  </si>
  <si>
    <t>DR</t>
  </si>
  <si>
    <t>SR</t>
  </si>
  <si>
    <t>MR</t>
  </si>
  <si>
    <t>HV Voltage</t>
  </si>
  <si>
    <t>LV Voltage</t>
  </si>
  <si>
    <t>HV Amps</t>
  </si>
  <si>
    <t>LV Amps</t>
  </si>
  <si>
    <t>H0</t>
  </si>
  <si>
    <t>Cooling_class</t>
  </si>
  <si>
    <t>ONAN</t>
  </si>
  <si>
    <t>ONAN/ONAF</t>
  </si>
  <si>
    <t>ONAN/ONAF/ONAF</t>
  </si>
  <si>
    <t>Class</t>
  </si>
  <si>
    <t>C</t>
  </si>
  <si>
    <t>Times Nominal Current</t>
  </si>
  <si>
    <t>Nomenclature</t>
  </si>
  <si>
    <t>Burden</t>
  </si>
  <si>
    <t>class_type</t>
  </si>
  <si>
    <t>T</t>
  </si>
  <si>
    <t>Sat. Voltage</t>
  </si>
  <si>
    <t>% Error @ 100% × In</t>
  </si>
  <si>
    <t>% Error @ 20 × In</t>
  </si>
  <si>
    <t>Secondary Current</t>
  </si>
  <si>
    <t>Burden Ohms</t>
  </si>
  <si>
    <t>Burden VA</t>
  </si>
  <si>
    <t>Class / Sat. Voltage</t>
  </si>
  <si>
    <t>TYPE T OR C FOR PROTECTION</t>
  </si>
  <si>
    <t>FOR PROTECTION TYPE (T/C)</t>
  </si>
  <si>
    <t>FOR METERING)</t>
  </si>
  <si>
    <t>Burden Voltage</t>
  </si>
  <si>
    <t>Accuracy</t>
  </si>
  <si>
    <t>ANSI SELECTION</t>
  </si>
  <si>
    <t>Type</t>
  </si>
  <si>
    <t>metering_accuracy_type</t>
  </si>
  <si>
    <t>S</t>
  </si>
  <si>
    <t>Nominal Current %</t>
  </si>
  <si>
    <t>10% In</t>
  </si>
  <si>
    <t>Amps</t>
  </si>
  <si>
    <t>100% In</t>
  </si>
  <si>
    <t>Case</t>
  </si>
  <si>
    <t>Amps Over Nominal</t>
  </si>
  <si>
    <t>Amps Under Nominal</t>
  </si>
  <si>
    <t>Case Chosen</t>
  </si>
  <si>
    <t>Amps Under Nominal Chosen</t>
  </si>
  <si>
    <t>Amps Over Nominal Chosen</t>
  </si>
  <si>
    <t>Nominal Current % Chosen</t>
  </si>
  <si>
    <t>n</t>
  </si>
  <si>
    <t>5% In</t>
  </si>
  <si>
    <t>C10</t>
  </si>
  <si>
    <t>10L20</t>
  </si>
  <si>
    <t>WTI_acc</t>
  </si>
  <si>
    <t>C20</t>
  </si>
  <si>
    <t>10L10</t>
  </si>
  <si>
    <t>HV WINDING</t>
  </si>
  <si>
    <t>CT TAG GROUP</t>
  </si>
  <si>
    <t>GENERAL INPUT DATA</t>
  </si>
  <si>
    <t>CT / PH</t>
  </si>
  <si>
    <t>Ø</t>
  </si>
  <si>
    <t>TAG individual</t>
  </si>
  <si>
    <t>H</t>
  </si>
  <si>
    <t>X</t>
  </si>
  <si>
    <t>X0</t>
  </si>
  <si>
    <t>Bushing OD [in]</t>
  </si>
  <si>
    <t xml:space="preserve">Thermal Factor [ @ 95°C ] </t>
  </si>
  <si>
    <t>CT Height [ in ]</t>
  </si>
  <si>
    <t>CT Tag</t>
  </si>
  <si>
    <t>NOMINAL</t>
  </si>
  <si>
    <t>[ in ]</t>
  </si>
  <si>
    <t>Notes:</t>
  </si>
  <si>
    <t>Secondary Leads</t>
  </si>
  <si>
    <t>Notes</t>
  </si>
  <si>
    <t>CT Pocket Length per phase</t>
  </si>
  <si>
    <t>CT2</t>
  </si>
  <si>
    <t>CT Groups</t>
  </si>
  <si>
    <t>HV CT INPUTS</t>
  </si>
  <si>
    <t>This CT is intended for use inside a transformer filled with mineral oil.</t>
  </si>
  <si>
    <t>Qty</t>
  </si>
  <si>
    <t>300/200/100</t>
  </si>
  <si>
    <t>10L200</t>
  </si>
  <si>
    <t>1) As much as possible use same ID and OD for CT's located in the same bushing.</t>
  </si>
  <si>
    <t>Total number of HV CTs</t>
  </si>
  <si>
    <t>Max. CT Pocket</t>
  </si>
  <si>
    <t>Accumulated Build</t>
  </si>
  <si>
    <t>Phase</t>
  </si>
  <si>
    <t>Ø H1</t>
  </si>
  <si>
    <t>Ø H0</t>
  </si>
  <si>
    <t>Ø H2</t>
  </si>
  <si>
    <t>Ø H3</t>
  </si>
  <si>
    <t>Status</t>
  </si>
  <si>
    <t>Internal Diameter [ in ]</t>
  </si>
  <si>
    <t>Outer Diameter [ in ]</t>
  </si>
  <si>
    <t>CT Height Override [in]</t>
  </si>
  <si>
    <t>Ratio Override</t>
  </si>
  <si>
    <t>Accuracy Override</t>
  </si>
  <si>
    <t>1) Green cells are input data.</t>
  </si>
  <si>
    <t>2) Gray cells should only be modified if there’s a specific reason.</t>
  </si>
  <si>
    <t>=== SUMMARY: POCKET CHECK PER PHASE ===</t>
  </si>
  <si>
    <t>OUTPUT HV SUMMARY</t>
  </si>
  <si>
    <t>POCKET CHECK PER PHASE</t>
  </si>
  <si>
    <t>Supplier to send RFQ</t>
  </si>
  <si>
    <t>suppliers</t>
  </si>
  <si>
    <t>MERAMEC</t>
  </si>
  <si>
    <t>MULTICAST</t>
  </si>
  <si>
    <t>Subject</t>
  </si>
  <si>
    <t>SO</t>
  </si>
  <si>
    <t>POLYCAST</t>
  </si>
  <si>
    <t>FOR HV</t>
  </si>
  <si>
    <t>FOR LV</t>
  </si>
  <si>
    <t>Supplier email</t>
  </si>
  <si>
    <t>PREFIX</t>
  </si>
  <si>
    <t>N</t>
  </si>
  <si>
    <t>ME</t>
  </si>
  <si>
    <t>R0</t>
  </si>
  <si>
    <t>-</t>
  </si>
  <si>
    <t>Transformer max kVA</t>
  </si>
  <si>
    <t>2.5L400</t>
  </si>
  <si>
    <t>2.5L100</t>
  </si>
  <si>
    <t>Ø X0</t>
  </si>
  <si>
    <t>X1</t>
  </si>
  <si>
    <t>Ø X1</t>
  </si>
  <si>
    <t>X2</t>
  </si>
  <si>
    <t>Ø X2</t>
  </si>
  <si>
    <t>X3</t>
  </si>
  <si>
    <t>Ø X3</t>
  </si>
  <si>
    <t>LV CT INPUTS</t>
  </si>
  <si>
    <t>OUTPUT LV SUMMARY</t>
  </si>
  <si>
    <t>LV WINDING</t>
  </si>
  <si>
    <t>Y0</t>
  </si>
  <si>
    <t>Ø Y0</t>
  </si>
  <si>
    <t>Y1</t>
  </si>
  <si>
    <t>Ø Y1</t>
  </si>
  <si>
    <t>Y2</t>
  </si>
  <si>
    <t>Ø Y2</t>
  </si>
  <si>
    <t>Y3</t>
  </si>
  <si>
    <t>Ø Y3</t>
  </si>
  <si>
    <t>TV CT INPUTS</t>
  </si>
  <si>
    <t>TV WINDING</t>
  </si>
  <si>
    <t>OUTPUT TV SUMMARY</t>
  </si>
  <si>
    <t>CT8</t>
  </si>
  <si>
    <t>CT9</t>
  </si>
  <si>
    <t>CT10</t>
  </si>
  <si>
    <t>HV SUMMARY</t>
  </si>
  <si>
    <t>LV SUMMARY</t>
  </si>
  <si>
    <t>TV SUMMARY</t>
  </si>
  <si>
    <t>FOR TV</t>
  </si>
  <si>
    <t>Total number of LV CTs</t>
  </si>
  <si>
    <t>Total number of TV CTs</t>
  </si>
  <si>
    <t>Total Number of CTs</t>
  </si>
  <si>
    <t>HV</t>
  </si>
  <si>
    <t>LV</t>
  </si>
  <si>
    <t>TV</t>
  </si>
  <si>
    <t>N22154</t>
  </si>
  <si>
    <t>CT1D</t>
  </si>
  <si>
    <t>CT1O</t>
  </si>
  <si>
    <t>Differential CT</t>
  </si>
  <si>
    <t>Overcurrent CT</t>
  </si>
  <si>
    <t>Instantaneous Overcurrent</t>
  </si>
  <si>
    <t>800/600/200</t>
  </si>
  <si>
    <t>10L400</t>
  </si>
  <si>
    <t>CT5</t>
  </si>
  <si>
    <t>HV WTI CT</t>
  </si>
  <si>
    <t>CT3</t>
  </si>
  <si>
    <t>1600/1200/800/400</t>
  </si>
  <si>
    <t>0.3B1.8</t>
  </si>
  <si>
    <t>CT4</t>
  </si>
  <si>
    <t>CT6</t>
  </si>
  <si>
    <t>LV WTI CT</t>
  </si>
  <si>
    <t>LDC CT</t>
  </si>
  <si>
    <t>CT7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</si>
</sst>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10"/>
      <color theme="1"/>
      <name val="Roboto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Roboto"/>
    </font>
    <font>
      <sz val="10"/>
      <name val="Roboto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Roboto"/>
    </font>
    <font>
      <b/>
      <sz val="11"/>
      <color theme="1"/>
      <name val="Roboto"/>
    </font>
    <font>
      <sz val="10"/>
      <color theme="7" tint="-0.499984740745262"/>
      <name val="Roboto"/>
    </font>
    <font>
      <sz val="10"/>
      <color theme="8" tint="-0.249977111117893"/>
      <name val="Roboto"/>
    </font>
    <font>
      <sz val="10"/>
      <color theme="8" tint="-0.499984740745262"/>
      <name val="Roboto"/>
    </font>
    <font>
      <sz val="10"/>
      <color rgb="FFC00000"/>
      <name val="Roboto"/>
    </font>
    <font>
      <sz val="10"/>
      <color rgb="FF002060"/>
      <name val="Roboto"/>
    </font>
    <font>
      <sz val="10"/>
      <color theme="7" tint="-0.249977111117893"/>
      <name val="Roboto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A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5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medium">
        <color indexed="64"/>
      </left>
      <right/>
      <top/>
      <bottom style="dotted">
        <color indexed="64"/>
      </bottom>
      <diagonal/>
    </border>
  </borders>
  <cellStyleXfs count="1">
    <xf numFmtId="0" fontId="0" fillId="0" borderId="0"/>
  </cellStyleXfs>
  <cellXfs count="296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2" fontId="1" fillId="4" borderId="12" xfId="0" applyNumberFormat="1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shrinkToFit="1"/>
    </xf>
    <xf numFmtId="0" fontId="1" fillId="6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5" borderId="12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center" vertical="center" wrapText="1"/>
    </xf>
    <xf numFmtId="0" fontId="1" fillId="8" borderId="17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center" vertical="center"/>
    </xf>
    <xf numFmtId="0" fontId="3" fillId="7" borderId="6" xfId="0" applyFont="1" applyFill="1" applyBorder="1" applyAlignment="1">
      <alignment horizontal="left" vertical="center"/>
    </xf>
    <xf numFmtId="0" fontId="1" fillId="7" borderId="3" xfId="0" applyFont="1" applyFill="1" applyBorder="1" applyAlignment="1">
      <alignment horizontal="center" vertical="center"/>
    </xf>
    <xf numFmtId="165" fontId="1" fillId="4" borderId="0" xfId="0" applyNumberFormat="1" applyFont="1" applyFill="1" applyAlignment="1">
      <alignment horizontal="center" vertical="center"/>
    </xf>
    <xf numFmtId="166" fontId="1" fillId="4" borderId="0" xfId="0" applyNumberFormat="1" applyFont="1" applyFill="1" applyAlignment="1">
      <alignment horizontal="center" vertical="center"/>
    </xf>
    <xf numFmtId="0" fontId="1" fillId="5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20" xfId="0" applyFont="1" applyFill="1" applyBorder="1" applyAlignment="1">
      <alignment horizontal="center" vertical="center" wrapText="1"/>
    </xf>
    <xf numFmtId="0" fontId="3" fillId="7" borderId="21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1" fillId="5" borderId="23" xfId="0" applyFont="1" applyFill="1" applyBorder="1" applyAlignment="1">
      <alignment horizontal="center" vertical="center" wrapText="1"/>
    </xf>
    <xf numFmtId="0" fontId="1" fillId="4" borderId="23" xfId="0" applyFont="1" applyFill="1" applyBorder="1" applyAlignment="1">
      <alignment horizontal="center" vertical="center" wrapText="1"/>
    </xf>
    <xf numFmtId="0" fontId="1" fillId="4" borderId="25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top" wrapText="1"/>
    </xf>
    <xf numFmtId="0" fontId="3" fillId="3" borderId="29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 wrapText="1"/>
    </xf>
    <xf numFmtId="0" fontId="1" fillId="9" borderId="12" xfId="0" applyFont="1" applyFill="1" applyBorder="1" applyAlignment="1">
      <alignment horizontal="center" vertical="center" wrapText="1"/>
    </xf>
    <xf numFmtId="0" fontId="1" fillId="9" borderId="18" xfId="0" applyFont="1" applyFill="1" applyBorder="1" applyAlignment="1">
      <alignment horizontal="center" vertical="center" wrapText="1"/>
    </xf>
    <xf numFmtId="0" fontId="1" fillId="4" borderId="32" xfId="0" applyFont="1" applyFill="1" applyBorder="1" applyAlignment="1">
      <alignment vertical="center"/>
    </xf>
    <xf numFmtId="0" fontId="1" fillId="4" borderId="3" xfId="0" applyFont="1" applyFill="1" applyBorder="1" applyAlignment="1">
      <alignment vertical="center"/>
    </xf>
    <xf numFmtId="0" fontId="1" fillId="10" borderId="0" xfId="0" applyFont="1" applyFill="1" applyAlignment="1">
      <alignment horizontal="left" vertical="top" wrapText="1"/>
    </xf>
    <xf numFmtId="0" fontId="3" fillId="3" borderId="3" xfId="0" quotePrefix="1" applyFont="1" applyFill="1" applyBorder="1" applyAlignment="1">
      <alignment vertical="center" wrapText="1"/>
    </xf>
    <xf numFmtId="0" fontId="2" fillId="7" borderId="0" xfId="0" applyFont="1" applyFill="1" applyAlignment="1">
      <alignment horizontal="left" vertical="center" wrapText="1"/>
    </xf>
    <xf numFmtId="0" fontId="1" fillId="11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3" fillId="3" borderId="19" xfId="0" applyFont="1" applyFill="1" applyBorder="1" applyAlignment="1">
      <alignment horizontal="left" vertical="center" wrapText="1"/>
    </xf>
    <xf numFmtId="0" fontId="3" fillId="3" borderId="22" xfId="0" applyFont="1" applyFill="1" applyBorder="1" applyAlignment="1">
      <alignment horizontal="left" vertical="top" wrapText="1"/>
    </xf>
    <xf numFmtId="0" fontId="3" fillId="3" borderId="22" xfId="0" applyFont="1" applyFill="1" applyBorder="1" applyAlignment="1">
      <alignment horizontal="left" vertical="top"/>
    </xf>
    <xf numFmtId="0" fontId="3" fillId="3" borderId="22" xfId="0" applyFont="1" applyFill="1" applyBorder="1" applyAlignment="1">
      <alignment horizontal="left" vertical="center" wrapText="1"/>
    </xf>
    <xf numFmtId="0" fontId="1" fillId="3" borderId="32" xfId="0" applyFont="1" applyFill="1" applyBorder="1" applyAlignment="1">
      <alignment horizontal="center" vertical="center" wrapText="1"/>
    </xf>
    <xf numFmtId="0" fontId="3" fillId="10" borderId="0" xfId="0" quotePrefix="1" applyFont="1" applyFill="1" applyAlignment="1">
      <alignment vertical="center" wrapText="1"/>
    </xf>
    <xf numFmtId="0" fontId="1" fillId="12" borderId="0" xfId="0" applyFont="1" applyFill="1" applyAlignment="1">
      <alignment horizontal="left" vertical="center" wrapText="1"/>
    </xf>
    <xf numFmtId="0" fontId="1" fillId="12" borderId="0" xfId="0" applyFont="1" applyFill="1" applyAlignment="1">
      <alignment horizontal="center" vertical="center" wrapText="1"/>
    </xf>
    <xf numFmtId="0" fontId="1" fillId="12" borderId="0" xfId="0" applyFont="1" applyFill="1" applyAlignment="1">
      <alignment horizontal="left" vertical="top" wrapText="1"/>
    </xf>
    <xf numFmtId="0" fontId="1" fillId="12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4" borderId="12" xfId="0" applyFont="1" applyFill="1" applyBorder="1" applyAlignment="1">
      <alignment horizontal="center" vertical="top" wrapText="1"/>
    </xf>
    <xf numFmtId="0" fontId="1" fillId="9" borderId="25" xfId="0" applyFont="1" applyFill="1" applyBorder="1" applyAlignment="1">
      <alignment horizontal="center" vertical="center" wrapText="1"/>
    </xf>
    <xf numFmtId="0" fontId="1" fillId="3" borderId="28" xfId="0" applyFont="1" applyFill="1" applyBorder="1" applyAlignment="1">
      <alignment horizontal="center" vertical="center" wrapText="1"/>
    </xf>
    <xf numFmtId="0" fontId="1" fillId="4" borderId="25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vertical="center"/>
    </xf>
    <xf numFmtId="0" fontId="1" fillId="4" borderId="36" xfId="0" applyFont="1" applyFill="1" applyBorder="1" applyAlignment="1">
      <alignment horizontal="center" vertical="center"/>
    </xf>
    <xf numFmtId="0" fontId="1" fillId="4" borderId="23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 wrapText="1"/>
    </xf>
    <xf numFmtId="0" fontId="1" fillId="9" borderId="38" xfId="0" applyFont="1" applyFill="1" applyBorder="1" applyAlignment="1">
      <alignment horizontal="center" vertical="center" wrapText="1"/>
    </xf>
    <xf numFmtId="0" fontId="3" fillId="3" borderId="0" xfId="0" quotePrefix="1" applyFont="1" applyFill="1" applyAlignment="1">
      <alignment vertical="center" wrapText="1"/>
    </xf>
    <xf numFmtId="0" fontId="3" fillId="3" borderId="28" xfId="0" quotePrefix="1" applyFont="1" applyFill="1" applyBorder="1" applyAlignment="1">
      <alignment vertical="center" wrapText="1"/>
    </xf>
    <xf numFmtId="0" fontId="3" fillId="3" borderId="4" xfId="0" quotePrefix="1" applyFont="1" applyFill="1" applyBorder="1" applyAlignment="1">
      <alignment vertical="center" wrapText="1"/>
    </xf>
    <xf numFmtId="0" fontId="3" fillId="3" borderId="5" xfId="0" quotePrefix="1" applyFont="1" applyFill="1" applyBorder="1" applyAlignment="1">
      <alignment vertical="center" wrapText="1"/>
    </xf>
    <xf numFmtId="0" fontId="1" fillId="9" borderId="20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3" fillId="7" borderId="22" xfId="0" applyFont="1" applyFill="1" applyBorder="1" applyAlignment="1">
      <alignment horizontal="left" vertical="center" wrapText="1"/>
    </xf>
    <xf numFmtId="0" fontId="1" fillId="7" borderId="0" xfId="0" applyFont="1" applyFill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3" fillId="7" borderId="33" xfId="0" applyFont="1" applyFill="1" applyBorder="1" applyAlignment="1">
      <alignment horizontal="left" vertical="center" wrapText="1"/>
    </xf>
    <xf numFmtId="0" fontId="1" fillId="7" borderId="3" xfId="0" applyFont="1" applyFill="1" applyBorder="1" applyAlignment="1">
      <alignment horizontal="left" vertical="center" wrapText="1"/>
    </xf>
    <xf numFmtId="0" fontId="3" fillId="7" borderId="35" xfId="0" applyFont="1" applyFill="1" applyBorder="1" applyAlignment="1">
      <alignment horizontal="left" vertical="center" wrapText="1"/>
    </xf>
    <xf numFmtId="0" fontId="1" fillId="7" borderId="32" xfId="0" applyFont="1" applyFill="1" applyBorder="1" applyAlignment="1">
      <alignment horizontal="left" vertical="center" wrapText="1"/>
    </xf>
    <xf numFmtId="0" fontId="1" fillId="7" borderId="28" xfId="0" applyFont="1" applyFill="1" applyBorder="1" applyAlignment="1">
      <alignment horizontal="left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1" fillId="7" borderId="5" xfId="0" applyFont="1" applyFill="1" applyBorder="1" applyAlignment="1">
      <alignment horizontal="left" vertical="center" wrapText="1"/>
    </xf>
    <xf numFmtId="0" fontId="1" fillId="7" borderId="27" xfId="0" applyFont="1" applyFill="1" applyBorder="1" applyAlignment="1">
      <alignment horizontal="left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left" vertical="center" wrapText="1"/>
    </xf>
    <xf numFmtId="0" fontId="3" fillId="7" borderId="32" xfId="0" applyFont="1" applyFill="1" applyBorder="1" applyAlignment="1">
      <alignment horizontal="left" vertical="center" wrapText="1"/>
    </xf>
    <xf numFmtId="0" fontId="1" fillId="7" borderId="5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top" wrapText="1"/>
    </xf>
    <xf numFmtId="0" fontId="3" fillId="3" borderId="3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 wrapText="1"/>
    </xf>
    <xf numFmtId="0" fontId="1" fillId="11" borderId="0" xfId="0" applyFont="1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3" borderId="27" xfId="0" applyFont="1" applyFill="1" applyBorder="1"/>
    <xf numFmtId="0" fontId="10" fillId="10" borderId="0" xfId="0" applyFont="1" applyFill="1" applyAlignment="1">
      <alignment horizontal="center" vertical="center" wrapText="1"/>
    </xf>
    <xf numFmtId="0" fontId="10" fillId="4" borderId="32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3" xfId="0" applyFont="1" applyFill="1" applyBorder="1" applyAlignment="1">
      <alignment vertical="center"/>
    </xf>
    <xf numFmtId="0" fontId="10" fillId="3" borderId="32" xfId="0" applyFont="1" applyFill="1" applyBorder="1" applyAlignment="1">
      <alignment horizontal="center" vertical="center" wrapText="1"/>
    </xf>
    <xf numFmtId="0" fontId="11" fillId="3" borderId="29" xfId="0" applyFont="1" applyFill="1" applyBorder="1" applyAlignment="1">
      <alignment horizontal="center" vertical="center"/>
    </xf>
    <xf numFmtId="0" fontId="11" fillId="3" borderId="30" xfId="0" applyFont="1" applyFill="1" applyBorder="1" applyAlignment="1">
      <alignment horizontal="center" vertical="center"/>
    </xf>
    <xf numFmtId="0" fontId="11" fillId="3" borderId="31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0" fontId="10" fillId="4" borderId="36" xfId="0" applyFont="1" applyFill="1" applyBorder="1" applyAlignment="1">
      <alignment horizontal="center" vertical="center"/>
    </xf>
    <xf numFmtId="0" fontId="11" fillId="3" borderId="0" xfId="0" quotePrefix="1" applyFont="1" applyFill="1" applyAlignment="1">
      <alignment vertical="center" wrapText="1"/>
    </xf>
    <xf numFmtId="0" fontId="11" fillId="3" borderId="3" xfId="0" quotePrefix="1" applyFont="1" applyFill="1" applyBorder="1" applyAlignment="1">
      <alignment vertical="center" wrapText="1"/>
    </xf>
    <xf numFmtId="0" fontId="11" fillId="3" borderId="28" xfId="0" quotePrefix="1" applyFont="1" applyFill="1" applyBorder="1" applyAlignment="1">
      <alignment vertical="center" wrapText="1"/>
    </xf>
    <xf numFmtId="0" fontId="11" fillId="3" borderId="4" xfId="0" quotePrefix="1" applyFont="1" applyFill="1" applyBorder="1" applyAlignment="1">
      <alignment vertical="center" wrapText="1"/>
    </xf>
    <xf numFmtId="0" fontId="11" fillId="3" borderId="5" xfId="0" quotePrefix="1" applyFont="1" applyFill="1" applyBorder="1" applyAlignment="1">
      <alignment vertical="center" wrapText="1"/>
    </xf>
    <xf numFmtId="0" fontId="11" fillId="3" borderId="1" xfId="0" quotePrefix="1" applyFont="1" applyFill="1" applyBorder="1" applyAlignment="1">
      <alignment vertical="center" wrapText="1"/>
    </xf>
    <xf numFmtId="0" fontId="11" fillId="3" borderId="2" xfId="0" quotePrefix="1" applyFont="1" applyFill="1" applyBorder="1" applyAlignment="1">
      <alignment vertical="center" wrapText="1"/>
    </xf>
    <xf numFmtId="0" fontId="11" fillId="10" borderId="0" xfId="0" quotePrefix="1" applyFont="1" applyFill="1" applyAlignment="1">
      <alignment vertical="center" wrapText="1"/>
    </xf>
    <xf numFmtId="0" fontId="11" fillId="3" borderId="0" xfId="0" applyFont="1" applyFill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center" vertical="center" wrapText="1"/>
    </xf>
    <xf numFmtId="0" fontId="10" fillId="4" borderId="20" xfId="0" applyFont="1" applyFill="1" applyBorder="1" applyAlignment="1">
      <alignment horizontal="center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10" fillId="4" borderId="12" xfId="0" applyFont="1" applyFill="1" applyBorder="1" applyAlignment="1">
      <alignment horizontal="center" vertical="center" wrapText="1"/>
    </xf>
    <xf numFmtId="0" fontId="10" fillId="4" borderId="23" xfId="0" applyFont="1" applyFill="1" applyBorder="1" applyAlignment="1">
      <alignment horizontal="center" vertical="center" wrapText="1"/>
    </xf>
    <xf numFmtId="0" fontId="10" fillId="4" borderId="24" xfId="0" applyFont="1" applyFill="1" applyBorder="1" applyAlignment="1">
      <alignment horizontal="center" vertical="center" wrapText="1"/>
    </xf>
    <xf numFmtId="0" fontId="10" fillId="4" borderId="25" xfId="0" applyFont="1" applyFill="1" applyBorder="1" applyAlignment="1">
      <alignment horizontal="center" vertical="center" wrapText="1"/>
    </xf>
    <xf numFmtId="0" fontId="10" fillId="4" borderId="26" xfId="0" applyFont="1" applyFill="1" applyBorder="1" applyAlignment="1">
      <alignment horizontal="center" vertical="center" wrapText="1"/>
    </xf>
    <xf numFmtId="0" fontId="10" fillId="12" borderId="0" xfId="0" applyFont="1" applyFill="1"/>
    <xf numFmtId="0" fontId="10" fillId="10" borderId="0" xfId="0" applyFont="1" applyFill="1"/>
    <xf numFmtId="0" fontId="10" fillId="12" borderId="0" xfId="0" applyFont="1" applyFill="1" applyAlignment="1">
      <alignment horizontal="center" vertical="center" wrapText="1"/>
    </xf>
    <xf numFmtId="0" fontId="11" fillId="12" borderId="41" xfId="0" applyFont="1" applyFill="1" applyBorder="1" applyAlignment="1">
      <alignment horizontal="left" vertical="center" wrapText="1"/>
    </xf>
    <xf numFmtId="0" fontId="10" fillId="12" borderId="19" xfId="0" applyFont="1" applyFill="1" applyBorder="1" applyAlignment="1">
      <alignment horizontal="center" vertical="center" wrapText="1"/>
    </xf>
    <xf numFmtId="0" fontId="10" fillId="12" borderId="20" xfId="0" applyFont="1" applyFill="1" applyBorder="1" applyAlignment="1">
      <alignment horizontal="center" vertical="center" wrapText="1"/>
    </xf>
    <xf numFmtId="0" fontId="10" fillId="12" borderId="21" xfId="0" applyFont="1" applyFill="1" applyBorder="1" applyAlignment="1">
      <alignment horizontal="center" vertical="center" wrapText="1"/>
    </xf>
    <xf numFmtId="0" fontId="11" fillId="12" borderId="33" xfId="0" applyFont="1" applyFill="1" applyBorder="1" applyAlignment="1">
      <alignment horizontal="left" vertical="top" wrapText="1"/>
    </xf>
    <xf numFmtId="0" fontId="10" fillId="12" borderId="22" xfId="0" applyFont="1" applyFill="1" applyBorder="1" applyAlignment="1">
      <alignment horizontal="center" vertical="center" wrapText="1"/>
    </xf>
    <xf numFmtId="0" fontId="10" fillId="12" borderId="12" xfId="0" applyFont="1" applyFill="1" applyBorder="1" applyAlignment="1">
      <alignment horizontal="center" vertical="center" wrapText="1"/>
    </xf>
    <xf numFmtId="0" fontId="10" fillId="12" borderId="23" xfId="0" applyFont="1" applyFill="1" applyBorder="1" applyAlignment="1">
      <alignment horizontal="center" vertical="center" wrapText="1"/>
    </xf>
    <xf numFmtId="0" fontId="11" fillId="12" borderId="33" xfId="0" applyFont="1" applyFill="1" applyBorder="1" applyAlignment="1">
      <alignment horizontal="left" vertical="top"/>
    </xf>
    <xf numFmtId="0" fontId="11" fillId="12" borderId="33" xfId="0" applyFont="1" applyFill="1" applyBorder="1" applyAlignment="1">
      <alignment horizontal="left" vertical="center" wrapText="1"/>
    </xf>
    <xf numFmtId="0" fontId="10" fillId="12" borderId="42" xfId="0" applyFont="1" applyFill="1" applyBorder="1" applyAlignment="1">
      <alignment horizontal="center" vertical="center" wrapText="1"/>
    </xf>
    <xf numFmtId="0" fontId="10" fillId="12" borderId="24" xfId="0" applyFont="1" applyFill="1" applyBorder="1" applyAlignment="1">
      <alignment horizontal="center" vertical="center" wrapText="1"/>
    </xf>
    <xf numFmtId="0" fontId="10" fillId="12" borderId="25" xfId="0" applyFont="1" applyFill="1" applyBorder="1" applyAlignment="1">
      <alignment horizontal="center" vertical="center" wrapText="1"/>
    </xf>
    <xf numFmtId="0" fontId="10" fillId="12" borderId="26" xfId="0" applyFont="1" applyFill="1" applyBorder="1" applyAlignment="1">
      <alignment horizontal="center" vertical="center" wrapText="1"/>
    </xf>
    <xf numFmtId="0" fontId="11" fillId="12" borderId="32" xfId="0" applyFont="1" applyFill="1" applyBorder="1" applyAlignment="1">
      <alignment horizontal="left" vertical="center" wrapText="1"/>
    </xf>
    <xf numFmtId="0" fontId="10" fillId="12" borderId="18" xfId="0" applyFont="1" applyFill="1" applyBorder="1" applyAlignment="1">
      <alignment horizontal="center" vertical="center" wrapText="1"/>
    </xf>
    <xf numFmtId="0" fontId="10" fillId="12" borderId="12" xfId="0" applyFont="1" applyFill="1" applyBorder="1" applyAlignment="1">
      <alignment horizontal="center"/>
    </xf>
    <xf numFmtId="0" fontId="11" fillId="12" borderId="28" xfId="0" applyFont="1" applyFill="1" applyBorder="1" applyAlignment="1">
      <alignment horizontal="left" vertical="center" wrapText="1"/>
    </xf>
    <xf numFmtId="0" fontId="10" fillId="12" borderId="4" xfId="0" applyFont="1" applyFill="1" applyBorder="1" applyAlignment="1">
      <alignment horizontal="center" vertical="center" wrapText="1"/>
    </xf>
    <xf numFmtId="0" fontId="11" fillId="12" borderId="0" xfId="0" applyFont="1" applyFill="1" applyAlignment="1">
      <alignment vertical="center" wrapText="1"/>
    </xf>
    <xf numFmtId="0" fontId="10" fillId="12" borderId="43" xfId="0" applyFont="1" applyFill="1" applyBorder="1" applyAlignment="1">
      <alignment horizontal="left" vertical="center" wrapText="1"/>
    </xf>
    <xf numFmtId="0" fontId="10" fillId="12" borderId="48" xfId="0" applyFont="1" applyFill="1" applyBorder="1" applyAlignment="1">
      <alignment horizontal="left" vertical="center" wrapText="1"/>
    </xf>
    <xf numFmtId="0" fontId="10" fillId="12" borderId="48" xfId="0" applyFont="1" applyFill="1" applyBorder="1" applyAlignment="1">
      <alignment horizontal="center" vertical="center" wrapText="1"/>
    </xf>
    <xf numFmtId="0" fontId="11" fillId="12" borderId="48" xfId="0" applyFont="1" applyFill="1" applyBorder="1" applyAlignment="1">
      <alignment vertical="center" wrapText="1"/>
    </xf>
    <xf numFmtId="0" fontId="10" fillId="12" borderId="43" xfId="0" applyFont="1" applyFill="1" applyBorder="1" applyAlignment="1">
      <alignment horizontal="center" vertical="center" wrapText="1"/>
    </xf>
    <xf numFmtId="0" fontId="10" fillId="12" borderId="0" xfId="0" applyFont="1" applyFill="1" applyAlignment="1">
      <alignment horizontal="left" vertical="top" wrapText="1"/>
    </xf>
    <xf numFmtId="0" fontId="10" fillId="12" borderId="48" xfId="0" applyFont="1" applyFill="1" applyBorder="1" applyAlignment="1">
      <alignment horizontal="center" vertical="center"/>
    </xf>
    <xf numFmtId="0" fontId="10" fillId="12" borderId="49" xfId="0" applyFont="1" applyFill="1" applyBorder="1" applyAlignment="1">
      <alignment horizontal="center" vertical="center" wrapText="1"/>
    </xf>
    <xf numFmtId="0" fontId="10" fillId="12" borderId="17" xfId="0" applyFont="1" applyFill="1" applyBorder="1" applyAlignment="1">
      <alignment horizontal="center" vertical="center" wrapText="1"/>
    </xf>
    <xf numFmtId="0" fontId="10" fillId="0" borderId="27" xfId="0" applyFont="1" applyBorder="1"/>
    <xf numFmtId="0" fontId="10" fillId="12" borderId="1" xfId="0" applyFont="1" applyFill="1" applyBorder="1"/>
    <xf numFmtId="0" fontId="10" fillId="12" borderId="2" xfId="0" applyFont="1" applyFill="1" applyBorder="1" applyAlignment="1">
      <alignment vertical="center" wrapText="1"/>
    </xf>
    <xf numFmtId="0" fontId="10" fillId="12" borderId="3" xfId="0" applyFont="1" applyFill="1" applyBorder="1" applyAlignment="1">
      <alignment vertical="center" wrapText="1"/>
    </xf>
    <xf numFmtId="0" fontId="10" fillId="12" borderId="5" xfId="0" applyFont="1" applyFill="1" applyBorder="1" applyAlignment="1">
      <alignment vertical="center" wrapText="1"/>
    </xf>
    <xf numFmtId="0" fontId="7" fillId="4" borderId="1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12" fillId="4" borderId="22" xfId="0" applyFont="1" applyFill="1" applyBorder="1" applyAlignment="1">
      <alignment horizontal="center" vertical="center" wrapText="1"/>
    </xf>
    <xf numFmtId="0" fontId="12" fillId="4" borderId="12" xfId="0" applyFont="1" applyFill="1" applyBorder="1" applyAlignment="1">
      <alignment horizontal="center" vertical="center" wrapText="1"/>
    </xf>
    <xf numFmtId="0" fontId="12" fillId="4" borderId="23" xfId="0" applyFont="1" applyFill="1" applyBorder="1" applyAlignment="1">
      <alignment horizontal="center" vertical="center" wrapText="1"/>
    </xf>
    <xf numFmtId="0" fontId="12" fillId="4" borderId="24" xfId="0" applyFont="1" applyFill="1" applyBorder="1" applyAlignment="1">
      <alignment horizontal="center" vertical="center" wrapText="1"/>
    </xf>
    <xf numFmtId="0" fontId="12" fillId="4" borderId="25" xfId="0" applyFont="1" applyFill="1" applyBorder="1" applyAlignment="1">
      <alignment horizontal="center" vertical="center" wrapText="1"/>
    </xf>
    <xf numFmtId="0" fontId="12" fillId="4" borderId="26" xfId="0" applyFont="1" applyFill="1" applyBorder="1" applyAlignment="1">
      <alignment horizontal="center" vertical="center" wrapText="1"/>
    </xf>
    <xf numFmtId="0" fontId="13" fillId="4" borderId="22" xfId="0" applyFont="1" applyFill="1" applyBorder="1" applyAlignment="1">
      <alignment horizontal="center" vertical="center" wrapText="1"/>
    </xf>
    <xf numFmtId="0" fontId="13" fillId="4" borderId="12" xfId="0" applyFont="1" applyFill="1" applyBorder="1" applyAlignment="1">
      <alignment horizontal="center" vertical="center" wrapText="1"/>
    </xf>
    <xf numFmtId="0" fontId="13" fillId="4" borderId="23" xfId="0" applyFont="1" applyFill="1" applyBorder="1" applyAlignment="1">
      <alignment horizontal="center" vertical="center" wrapText="1"/>
    </xf>
    <xf numFmtId="0" fontId="14" fillId="4" borderId="22" xfId="0" applyFont="1" applyFill="1" applyBorder="1" applyAlignment="1">
      <alignment horizontal="center" vertical="center" wrapText="1"/>
    </xf>
    <xf numFmtId="0" fontId="14" fillId="4" borderId="12" xfId="0" applyFont="1" applyFill="1" applyBorder="1" applyAlignment="1">
      <alignment horizontal="center" vertical="center" wrapText="1"/>
    </xf>
    <xf numFmtId="0" fontId="14" fillId="4" borderId="23" xfId="0" applyFont="1" applyFill="1" applyBorder="1" applyAlignment="1">
      <alignment horizontal="center" vertical="center" wrapText="1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5" xfId="0" applyFont="1" applyFill="1" applyBorder="1" applyAlignment="1">
      <alignment horizontal="center" vertical="center" wrapText="1"/>
    </xf>
    <xf numFmtId="0" fontId="14" fillId="4" borderId="26" xfId="0" applyFont="1" applyFill="1" applyBorder="1" applyAlignment="1">
      <alignment horizontal="center" vertical="center" wrapText="1"/>
    </xf>
    <xf numFmtId="0" fontId="15" fillId="4" borderId="12" xfId="0" applyFont="1" applyFill="1" applyBorder="1" applyAlignment="1">
      <alignment horizontal="center" vertical="center" wrapText="1"/>
    </xf>
    <xf numFmtId="0" fontId="16" fillId="4" borderId="22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23" xfId="0" applyFont="1" applyFill="1" applyBorder="1" applyAlignment="1">
      <alignment horizontal="center" vertical="center" wrapText="1"/>
    </xf>
    <xf numFmtId="0" fontId="1" fillId="9" borderId="22" xfId="0" applyFont="1" applyFill="1" applyBorder="1" applyAlignment="1">
      <alignment horizontal="center" vertical="center" wrapText="1"/>
    </xf>
    <xf numFmtId="0" fontId="1" fillId="9" borderId="24" xfId="0" applyFont="1" applyFill="1" applyBorder="1" applyAlignment="1">
      <alignment horizontal="center" vertical="center" wrapText="1"/>
    </xf>
    <xf numFmtId="0" fontId="10" fillId="9" borderId="17" xfId="0" applyFont="1" applyFill="1" applyBorder="1" applyAlignment="1">
      <alignment horizontal="center" vertical="center"/>
    </xf>
    <xf numFmtId="0" fontId="1" fillId="9" borderId="17" xfId="0" applyFont="1" applyFill="1" applyBorder="1" applyAlignment="1">
      <alignment horizontal="center" vertical="center"/>
    </xf>
    <xf numFmtId="0" fontId="1" fillId="9" borderId="36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9" borderId="50" xfId="0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0" fillId="12" borderId="12" xfId="0" applyFont="1" applyFill="1" applyBorder="1" applyAlignment="1">
      <alignment horizontal="center" vertical="center"/>
    </xf>
    <xf numFmtId="0" fontId="1" fillId="5" borderId="17" xfId="0" quotePrefix="1" applyFont="1" applyFill="1" applyBorder="1" applyAlignment="1">
      <alignment horizontal="center" vertical="center" wrapText="1"/>
    </xf>
    <xf numFmtId="0" fontId="17" fillId="4" borderId="22" xfId="0" applyFont="1" applyFill="1" applyBorder="1" applyAlignment="1">
      <alignment horizontal="center" vertical="center" wrapText="1"/>
    </xf>
    <xf numFmtId="0" fontId="17" fillId="4" borderId="12" xfId="0" applyFont="1" applyFill="1" applyBorder="1" applyAlignment="1">
      <alignment horizontal="center" vertical="center" wrapText="1"/>
    </xf>
    <xf numFmtId="0" fontId="17" fillId="4" borderId="23" xfId="0" applyFont="1" applyFill="1" applyBorder="1" applyAlignment="1">
      <alignment horizontal="center" vertical="center" wrapText="1"/>
    </xf>
    <xf numFmtId="0" fontId="17" fillId="4" borderId="24" xfId="0" applyFont="1" applyFill="1" applyBorder="1" applyAlignment="1">
      <alignment horizontal="center" vertical="center" wrapText="1"/>
    </xf>
    <xf numFmtId="0" fontId="17" fillId="4" borderId="25" xfId="0" applyFont="1" applyFill="1" applyBorder="1" applyAlignment="1">
      <alignment horizontal="center" vertical="center" wrapText="1"/>
    </xf>
    <xf numFmtId="0" fontId="17" fillId="4" borderId="26" xfId="0" applyFont="1" applyFill="1" applyBorder="1" applyAlignment="1">
      <alignment horizontal="center" vertical="center" wrapText="1"/>
    </xf>
    <xf numFmtId="0" fontId="6" fillId="5" borderId="12" xfId="0" quotePrefix="1" applyFont="1" applyFill="1" applyBorder="1" applyAlignment="1">
      <alignment horizontal="center" vertical="center" wrapText="1"/>
    </xf>
    <xf numFmtId="0" fontId="3" fillId="7" borderId="32" xfId="0" applyFont="1" applyFill="1" applyBorder="1" applyAlignment="1">
      <alignment horizontal="left" vertical="center" wrapText="1"/>
    </xf>
    <xf numFmtId="0" fontId="7" fillId="5" borderId="20" xfId="0" applyFont="1" applyFill="1" applyBorder="1" applyAlignment="1">
      <alignment horizontal="left" vertical="center" wrapText="1"/>
    </xf>
    <xf numFmtId="0" fontId="7" fillId="5" borderId="12" xfId="0" applyFont="1" applyFill="1" applyBorder="1" applyAlignment="1">
      <alignment horizontal="left" vertical="center" wrapText="1"/>
    </xf>
    <xf numFmtId="0" fontId="1" fillId="4" borderId="27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3" fillId="3" borderId="27" xfId="0" quotePrefix="1" applyFont="1" applyFill="1" applyBorder="1" applyAlignment="1">
      <alignment horizontal="center" vertical="center" wrapText="1"/>
    </xf>
    <xf numFmtId="0" fontId="3" fillId="3" borderId="1" xfId="0" quotePrefix="1" applyFont="1" applyFill="1" applyBorder="1" applyAlignment="1">
      <alignment horizontal="center" vertical="center" wrapText="1"/>
    </xf>
    <xf numFmtId="0" fontId="3" fillId="3" borderId="2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left" vertical="top" wrapText="1"/>
    </xf>
    <xf numFmtId="0" fontId="3" fillId="3" borderId="34" xfId="0" applyFont="1" applyFill="1" applyBorder="1" applyAlignment="1">
      <alignment horizontal="left" vertical="top" wrapText="1"/>
    </xf>
    <xf numFmtId="0" fontId="3" fillId="7" borderId="33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left" vertical="center" wrapText="1"/>
    </xf>
    <xf numFmtId="0" fontId="3" fillId="7" borderId="22" xfId="0" applyFont="1" applyFill="1" applyBorder="1" applyAlignment="1">
      <alignment horizontal="left" vertical="center" wrapText="1"/>
    </xf>
    <xf numFmtId="0" fontId="1" fillId="7" borderId="39" xfId="0" applyFont="1" applyFill="1" applyBorder="1" applyAlignment="1">
      <alignment horizontal="center" vertical="center" wrapText="1"/>
    </xf>
    <xf numFmtId="0" fontId="1" fillId="7" borderId="40" xfId="0" applyFont="1" applyFill="1" applyBorder="1" applyAlignment="1">
      <alignment horizontal="center" vertical="center" wrapText="1"/>
    </xf>
    <xf numFmtId="0" fontId="3" fillId="3" borderId="34" xfId="0" applyFont="1" applyFill="1" applyBorder="1" applyAlignment="1">
      <alignment horizontal="center" vertical="center" wrapText="1"/>
    </xf>
    <xf numFmtId="0" fontId="3" fillId="3" borderId="32" xfId="0" applyFont="1" applyFill="1" applyBorder="1" applyAlignment="1">
      <alignment horizontal="center" vertical="center" wrapText="1"/>
    </xf>
    <xf numFmtId="0" fontId="11" fillId="3" borderId="35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32" xfId="0" quotePrefix="1" applyFont="1" applyFill="1" applyBorder="1" applyAlignment="1">
      <alignment horizontal="center" vertical="center" wrapText="1"/>
    </xf>
    <xf numFmtId="0" fontId="11" fillId="3" borderId="28" xfId="0" quotePrefix="1" applyFont="1" applyFill="1" applyBorder="1" applyAlignment="1">
      <alignment horizontal="center" vertical="center" wrapText="1"/>
    </xf>
    <xf numFmtId="0" fontId="11" fillId="12" borderId="43" xfId="0" applyFont="1" applyFill="1" applyBorder="1" applyAlignment="1">
      <alignment horizontal="center"/>
    </xf>
    <xf numFmtId="0" fontId="11" fillId="12" borderId="0" xfId="0" applyFont="1" applyFill="1" applyAlignment="1">
      <alignment horizontal="center"/>
    </xf>
    <xf numFmtId="0" fontId="11" fillId="12" borderId="48" xfId="0" applyFont="1" applyFill="1" applyBorder="1" applyAlignment="1">
      <alignment horizontal="center"/>
    </xf>
    <xf numFmtId="0" fontId="11" fillId="10" borderId="0" xfId="0" applyFont="1" applyFill="1" applyAlignment="1">
      <alignment horizontal="center" vertical="center"/>
    </xf>
    <xf numFmtId="0" fontId="11" fillId="3" borderId="27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left" vertical="top" wrapText="1"/>
    </xf>
    <xf numFmtId="0" fontId="11" fillId="3" borderId="34" xfId="0" applyFont="1" applyFill="1" applyBorder="1" applyAlignment="1">
      <alignment horizontal="left" vertical="top" wrapText="1"/>
    </xf>
    <xf numFmtId="0" fontId="10" fillId="4" borderId="27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12" borderId="3" xfId="0" applyFont="1" applyFill="1" applyBorder="1" applyAlignment="1">
      <alignment horizontal="center" vertical="center" wrapText="1"/>
    </xf>
    <xf numFmtId="0" fontId="11" fillId="12" borderId="45" xfId="0" applyFont="1" applyFill="1" applyBorder="1" applyAlignment="1">
      <alignment horizontal="center" vertical="center" wrapText="1"/>
    </xf>
    <xf numFmtId="0" fontId="11" fillId="12" borderId="44" xfId="0" applyFont="1" applyFill="1" applyBorder="1" applyAlignment="1">
      <alignment horizontal="center" vertical="center" wrapText="1"/>
    </xf>
    <xf numFmtId="0" fontId="11" fillId="12" borderId="47" xfId="0" applyFont="1" applyFill="1" applyBorder="1" applyAlignment="1">
      <alignment horizontal="center" vertical="center" wrapText="1"/>
    </xf>
    <xf numFmtId="0" fontId="11" fillId="12" borderId="43" xfId="0" applyFont="1" applyFill="1" applyBorder="1" applyAlignment="1">
      <alignment horizontal="center" vertical="center" wrapText="1"/>
    </xf>
    <xf numFmtId="0" fontId="11" fillId="12" borderId="0" xfId="0" applyFont="1" applyFill="1" applyAlignment="1">
      <alignment horizontal="center" vertical="center" wrapText="1"/>
    </xf>
    <xf numFmtId="0" fontId="11" fillId="12" borderId="48" xfId="0" applyFont="1" applyFill="1" applyBorder="1" applyAlignment="1">
      <alignment horizontal="center" vertical="center" wrapText="1"/>
    </xf>
    <xf numFmtId="0" fontId="10" fillId="12" borderId="12" xfId="0" applyFont="1" applyFill="1" applyBorder="1" applyAlignment="1">
      <alignment horizontal="center"/>
    </xf>
    <xf numFmtId="0" fontId="0" fillId="12" borderId="13" xfId="0" applyFill="1" applyBorder="1" applyAlignment="1">
      <alignment horizontal="center" vertical="center"/>
    </xf>
    <xf numFmtId="0" fontId="0" fillId="12" borderId="46" xfId="0" applyFill="1" applyBorder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11" fillId="3" borderId="10" xfId="0" quotePrefix="1" applyFont="1" applyFill="1" applyBorder="1" applyAlignment="1">
      <alignment horizontal="center" vertical="center" wrapText="1"/>
    </xf>
    <xf numFmtId="0" fontId="11" fillId="3" borderId="11" xfId="0" quotePrefix="1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3" fillId="7" borderId="9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1" fillId="4" borderId="3" xfId="0" applyFont="1" applyFill="1" applyBorder="1" applyAlignment="1">
      <alignment horizontal="left" vertical="center" wrapText="1"/>
    </xf>
    <xf numFmtId="0" fontId="1" fillId="4" borderId="4" xfId="0" applyFont="1" applyFill="1" applyBorder="1" applyAlignment="1">
      <alignment horizontal="left" vertical="center" wrapText="1"/>
    </xf>
    <xf numFmtId="0" fontId="1" fillId="4" borderId="5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0" fillId="12" borderId="0" xfId="0" applyFont="1" applyFill="1" applyAlignment="1">
      <alignment vertical="center"/>
    </xf>
    <xf numFmtId="0" fontId="10" fillId="12" borderId="6" xfId="0" applyFont="1" applyFill="1" applyBorder="1" applyAlignment="1">
      <alignment vertical="center"/>
    </xf>
    <xf numFmtId="0" fontId="10" fillId="12" borderId="7" xfId="0" applyFont="1" applyFill="1" applyBorder="1" applyAlignment="1">
      <alignment vertical="center"/>
    </xf>
    <xf numFmtId="0" fontId="10" fillId="12" borderId="8" xfId="0" applyFont="1" applyFill="1" applyBorder="1" applyAlignment="1">
      <alignment vertical="center"/>
    </xf>
    <xf numFmtId="17" fontId="1" fillId="0" borderId="0" xfId="0" applyNumberFormat="1" applyFont="1" applyAlignment="1">
      <alignment horizontal="left" vertical="center" wrapText="1"/>
    </xf>
  </cellXfs>
  <cellStyles count="1">
    <cellStyle name="Normal" xfId="0" builtinId="0"/>
  </cellStyles>
  <dxfs count="10"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9E1F2"/>
      <color rgb="FFFFFAEB"/>
      <color rgb="FF6383C9"/>
      <color rgb="FFE2EFDA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22/10/relationships/richValueRel" Target="richData/richValueRel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697098</xdr:colOff>
      <xdr:row>6</xdr:row>
      <xdr:rowOff>79991</xdr:rowOff>
    </xdr:from>
    <xdr:to>
      <xdr:col>6</xdr:col>
      <xdr:colOff>185608</xdr:colOff>
      <xdr:row>10</xdr:row>
      <xdr:rowOff>130708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D6EFEF-2449-40B0-8D32-5722ABAE7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455" y="1077848"/>
          <a:ext cx="903653" cy="885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620059</xdr:colOff>
      <xdr:row>0</xdr:row>
      <xdr:rowOff>104588</xdr:rowOff>
    </xdr:from>
    <xdr:to>
      <xdr:col>8</xdr:col>
      <xdr:colOff>7470</xdr:colOff>
      <xdr:row>2</xdr:row>
      <xdr:rowOff>127000</xdr:rowOff>
    </xdr:to>
    <xdr:sp macro="[0]!ResetLayoutHV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C3F98DE-D946-4C4A-B071-D8D2777132E8}"/>
            </a:ext>
          </a:extLst>
        </xdr:cNvPr>
        <xdr:cNvSpPr/>
      </xdr:nvSpPr>
      <xdr:spPr>
        <a:xfrm>
          <a:off x="4459941" y="104588"/>
          <a:ext cx="1553882" cy="343647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/>
            <a:t>RESET CT INFO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697098</xdr:colOff>
      <xdr:row>6</xdr:row>
      <xdr:rowOff>79991</xdr:rowOff>
    </xdr:from>
    <xdr:to>
      <xdr:col>6</xdr:col>
      <xdr:colOff>185608</xdr:colOff>
      <xdr:row>10</xdr:row>
      <xdr:rowOff>130708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D6FB36-C03B-4F88-A74E-A0C82B3B4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5198" y="1076941"/>
          <a:ext cx="904560" cy="8889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612588</xdr:colOff>
      <xdr:row>0</xdr:row>
      <xdr:rowOff>89647</xdr:rowOff>
    </xdr:from>
    <xdr:to>
      <xdr:col>7</xdr:col>
      <xdr:colOff>224117</xdr:colOff>
      <xdr:row>2</xdr:row>
      <xdr:rowOff>112059</xdr:rowOff>
    </xdr:to>
    <xdr:sp macro="[0]!ResetLayoutLV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85A253A-5AE8-4D8F-A53A-F2A2E2FD38A9}"/>
            </a:ext>
          </a:extLst>
        </xdr:cNvPr>
        <xdr:cNvSpPr/>
      </xdr:nvSpPr>
      <xdr:spPr>
        <a:xfrm>
          <a:off x="4452470" y="89647"/>
          <a:ext cx="1553882" cy="343647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/>
            <a:t>RESET CT INFO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697098</xdr:colOff>
      <xdr:row>6</xdr:row>
      <xdr:rowOff>79991</xdr:rowOff>
    </xdr:from>
    <xdr:to>
      <xdr:col>6</xdr:col>
      <xdr:colOff>185608</xdr:colOff>
      <xdr:row>10</xdr:row>
      <xdr:rowOff>130708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905715-952B-47D8-B891-FBAA76B2A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5198" y="1076941"/>
          <a:ext cx="904560" cy="8889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612588</xdr:colOff>
      <xdr:row>0</xdr:row>
      <xdr:rowOff>89647</xdr:rowOff>
    </xdr:from>
    <xdr:to>
      <xdr:col>7</xdr:col>
      <xdr:colOff>224117</xdr:colOff>
      <xdr:row>2</xdr:row>
      <xdr:rowOff>112059</xdr:rowOff>
    </xdr:to>
    <xdr:sp macro="[0]!ResetLayoutTV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5F2B80D-F48C-427B-82FC-0AB216CFA5D4}"/>
            </a:ext>
          </a:extLst>
        </xdr:cNvPr>
        <xdr:cNvSpPr/>
      </xdr:nvSpPr>
      <xdr:spPr>
        <a:xfrm>
          <a:off x="4460688" y="89647"/>
          <a:ext cx="1548279" cy="346262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/>
            <a:t>RESET CT INFO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277090</xdr:colOff>
      <xdr:row>3</xdr:row>
      <xdr:rowOff>57726</xdr:rowOff>
    </xdr:from>
    <xdr:to>
      <xdr:col>7</xdr:col>
      <xdr:colOff>1131454</xdr:colOff>
      <xdr:row>5</xdr:row>
      <xdr:rowOff>115454</xdr:rowOff>
    </xdr:to>
    <xdr:sp macro="[0]!SendTableByEmai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F72E4B4-D2D2-9728-01A9-100226C4565C}"/>
            </a:ext>
          </a:extLst>
        </xdr:cNvPr>
        <xdr:cNvSpPr/>
      </xdr:nvSpPr>
      <xdr:spPr>
        <a:xfrm>
          <a:off x="10136908" y="611908"/>
          <a:ext cx="854364" cy="450273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/>
            <a:t>SEND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239"/>
  <sheetViews>
    <sheetView tabSelected="1" topLeftCell="A12" zoomScale="85" zoomScaleNormal="85" workbookViewId="0">
      <selection activeCell="M39" sqref="M39"/>
    </sheetView>
  </sheetViews>
  <sheetFormatPr defaultRowHeight="13" x14ac:dyDescent="0.35"/>
  <cols>
    <col min="1" max="1" width="3.36328125" style="9" customWidth="1"/>
    <col min="2" max="2" width="24.6328125" style="1" bestFit="1" customWidth="1"/>
    <col min="3" max="3" width="9.7265625" style="1" bestFit="1" customWidth="1"/>
    <col min="4" max="4" width="17.36328125" style="1" bestFit="1" customWidth="1"/>
    <col min="5" max="5" width="11" style="1" bestFit="1" customWidth="1"/>
    <col min="6" max="6" width="9.26953125" style="9" bestFit="1" customWidth="1"/>
    <col min="7" max="7" width="7.453125" style="1" customWidth="1"/>
    <col min="8" max="8" width="3.1796875" style="1" customWidth="1"/>
    <col min="9" max="9" width="6.453125" style="1" customWidth="1"/>
    <col min="10" max="10" width="4.81640625" style="1" customWidth="1"/>
    <col min="11" max="11" width="22.54296875" style="40" customWidth="1"/>
    <col min="12" max="14" width="23.1796875" style="1" bestFit="1" customWidth="1"/>
    <col min="15" max="15" width="26.08984375" style="1" customWidth="1"/>
    <col min="16" max="16" width="4" style="1" customWidth="1"/>
    <col min="17" max="17" width="8.54296875" style="1" customWidth="1"/>
    <col min="18" max="18" width="16.1796875" style="1" bestFit="1" customWidth="1"/>
    <col min="19" max="19" width="17.1796875" style="2" customWidth="1"/>
    <col min="20" max="20" width="19.453125" style="2" customWidth="1"/>
    <col min="21" max="21" width="14.08984375" style="2" customWidth="1"/>
    <col min="22" max="23" width="3.1796875" style="2" bestFit="1" customWidth="1"/>
    <col min="24" max="25" width="3.1796875" style="1" bestFit="1" customWidth="1"/>
    <col min="26" max="26" width="10.36328125" style="1" customWidth="1"/>
    <col min="27" max="27" width="8.1796875" style="1" bestFit="1" customWidth="1"/>
    <col min="28" max="28" width="8.7265625" style="1"/>
    <col min="29" max="29" width="11.1796875" style="1" bestFit="1" customWidth="1"/>
    <col min="30" max="33" width="8.7265625" style="1"/>
    <col min="34" max="34" width="7.6328125" style="1" bestFit="1" customWidth="1"/>
    <col min="35" max="37" width="8.7265625" style="1"/>
    <col min="38" max="38" width="7.453125" style="1" bestFit="1" customWidth="1"/>
    <col min="39" max="39" width="7.36328125" style="1" bestFit="1" customWidth="1"/>
    <col min="40" max="40" width="7.90625" style="1" bestFit="1" customWidth="1"/>
    <col min="41" max="41" width="8.7265625" style="1"/>
    <col min="42" max="42" width="8.36328125" style="1" bestFit="1" customWidth="1"/>
    <col min="43" max="43" width="7.26953125" style="1" bestFit="1" customWidth="1"/>
    <col min="44" max="44" width="7.90625" style="1" bestFit="1" customWidth="1"/>
    <col min="45" max="45" width="7.81640625" style="1" bestFit="1" customWidth="1"/>
    <col min="46" max="46" width="8.7265625" style="1"/>
    <col min="47" max="47" width="8.26953125" style="1" bestFit="1" customWidth="1"/>
    <col min="48" max="48" width="8.7265625" style="1"/>
    <col min="49" max="49" width="7.81640625" style="1" bestFit="1" customWidth="1"/>
    <col min="50" max="16384" width="8.7265625" style="1"/>
  </cols>
  <sheetData>
    <row r="1" spans="1:45" x14ac:dyDescent="0.35">
      <c r="A1" s="222" t="s">
        <v>122</v>
      </c>
      <c r="B1" s="222"/>
      <c r="C1" s="222"/>
      <c r="D1" s="222"/>
      <c r="E1" s="222"/>
      <c r="F1" s="222"/>
      <c r="G1" s="222"/>
      <c r="H1" s="222"/>
      <c r="I1" s="63"/>
      <c r="J1" s="63"/>
      <c r="K1" s="64"/>
      <c r="L1" s="63"/>
      <c r="M1" s="63"/>
      <c r="N1" s="63"/>
      <c r="O1" s="63"/>
      <c r="P1" s="63"/>
      <c r="Q1" s="63"/>
      <c r="R1" s="63"/>
      <c r="S1" s="65"/>
      <c r="T1" s="65"/>
      <c r="U1" s="65"/>
      <c r="V1" s="65"/>
      <c r="W1" s="65"/>
      <c r="X1" s="63"/>
      <c r="Y1" s="63"/>
    </row>
    <row r="2" spans="1:45" ht="12.5" customHeight="1" x14ac:dyDescent="0.35">
      <c r="A2" s="222" t="s">
        <v>123</v>
      </c>
      <c r="B2" s="222"/>
      <c r="C2" s="222"/>
      <c r="D2" s="222"/>
      <c r="E2" s="222"/>
      <c r="F2" s="222"/>
      <c r="G2" s="222"/>
      <c r="H2" s="222"/>
      <c r="I2" s="63"/>
      <c r="J2" s="63"/>
      <c r="K2" s="64"/>
      <c r="L2" s="63"/>
      <c r="M2" s="63"/>
      <c r="N2" s="63"/>
      <c r="O2" s="63"/>
      <c r="P2" s="63"/>
      <c r="Q2" s="63"/>
      <c r="R2" s="63"/>
      <c r="S2" s="65"/>
      <c r="T2" s="65"/>
      <c r="U2" s="65"/>
      <c r="V2" s="65"/>
      <c r="W2" s="65"/>
      <c r="X2" s="63"/>
      <c r="Y2" s="63"/>
    </row>
    <row r="3" spans="1:45" x14ac:dyDescent="0.35">
      <c r="A3" s="62"/>
      <c r="B3" s="63"/>
      <c r="C3" s="63"/>
      <c r="D3" s="63"/>
      <c r="E3" s="63"/>
      <c r="F3" s="62"/>
      <c r="G3" s="63"/>
      <c r="H3" s="63"/>
      <c r="I3" s="63"/>
      <c r="J3" s="63"/>
      <c r="K3" s="64"/>
      <c r="L3" s="63"/>
      <c r="M3" s="63"/>
      <c r="N3" s="63"/>
      <c r="O3" s="63"/>
      <c r="P3" s="63"/>
      <c r="Q3" s="63"/>
      <c r="R3" s="63"/>
      <c r="S3" s="65"/>
      <c r="T3" s="65"/>
      <c r="U3" s="65"/>
      <c r="V3" s="65"/>
      <c r="W3" s="65"/>
      <c r="X3" s="63"/>
      <c r="Y3" s="63"/>
    </row>
    <row r="4" spans="1:45" x14ac:dyDescent="0.35">
      <c r="A4" s="102"/>
      <c r="B4" s="223" t="s">
        <v>83</v>
      </c>
      <c r="C4" s="223"/>
      <c r="D4" s="223"/>
      <c r="E4" s="223"/>
      <c r="F4" s="223"/>
      <c r="G4" s="223"/>
      <c r="H4" s="103"/>
      <c r="I4" s="63"/>
      <c r="J4" s="46"/>
      <c r="K4" s="224" t="s">
        <v>125</v>
      </c>
      <c r="L4" s="224"/>
      <c r="M4" s="224"/>
      <c r="N4" s="224"/>
      <c r="O4" s="224"/>
      <c r="P4" s="46"/>
      <c r="W4" s="63"/>
      <c r="X4" s="63"/>
      <c r="Y4" s="63"/>
    </row>
    <row r="5" spans="1:45" ht="13.5" thickBot="1" x14ac:dyDescent="0.4">
      <c r="A5" s="102"/>
      <c r="B5" s="223"/>
      <c r="C5" s="223"/>
      <c r="D5" s="223"/>
      <c r="E5" s="223"/>
      <c r="F5" s="223"/>
      <c r="G5" s="223"/>
      <c r="H5" s="103"/>
      <c r="I5" s="63"/>
      <c r="J5" s="46"/>
      <c r="K5" s="224"/>
      <c r="L5" s="224"/>
      <c r="M5" s="224"/>
      <c r="N5" s="224"/>
      <c r="O5" s="224"/>
      <c r="P5" s="46"/>
      <c r="W5" s="63"/>
      <c r="X5" s="63"/>
      <c r="Y5" s="63"/>
    </row>
    <row r="6" spans="1:45" ht="13.5" thickBot="1" x14ac:dyDescent="0.4">
      <c r="A6" s="102"/>
      <c r="B6" s="94"/>
      <c r="C6" s="95"/>
      <c r="D6" s="95"/>
      <c r="E6" s="95"/>
      <c r="F6" s="95"/>
      <c r="G6" s="96"/>
      <c r="H6" s="103"/>
      <c r="I6" s="63"/>
      <c r="J6" s="46"/>
      <c r="K6" s="225" t="s">
        <v>81</v>
      </c>
      <c r="L6" s="226"/>
      <c r="M6" s="226"/>
      <c r="N6" s="226"/>
      <c r="O6" s="227"/>
      <c r="P6" s="46"/>
      <c r="W6" s="63"/>
      <c r="X6" s="63"/>
      <c r="Y6" s="63"/>
    </row>
    <row r="7" spans="1:45" x14ac:dyDescent="0.35">
      <c r="A7" s="102"/>
      <c r="B7" s="97" t="s">
        <v>132</v>
      </c>
      <c r="C7" s="85"/>
      <c r="D7" s="17" t="s">
        <v>179</v>
      </c>
      <c r="E7" s="85"/>
      <c r="F7" s="85"/>
      <c r="G7" s="88"/>
      <c r="H7" s="103"/>
      <c r="I7" s="63"/>
      <c r="J7" s="46"/>
      <c r="K7" s="230" t="s">
        <v>98</v>
      </c>
      <c r="L7" s="216" t="s">
        <v>107</v>
      </c>
      <c r="M7" s="217"/>
      <c r="N7" s="217"/>
      <c r="O7" s="218"/>
      <c r="P7" s="46"/>
      <c r="Y7" s="63"/>
    </row>
    <row r="8" spans="1:45" ht="13.5" thickBot="1" x14ac:dyDescent="0.4">
      <c r="A8" s="102"/>
      <c r="B8" s="97" t="s">
        <v>101</v>
      </c>
      <c r="C8" s="85"/>
      <c r="D8" s="17">
        <v>4</v>
      </c>
      <c r="E8" s="85"/>
      <c r="F8" s="85"/>
      <c r="G8" s="88"/>
      <c r="H8" s="103"/>
      <c r="I8" s="63"/>
      <c r="J8" s="46"/>
      <c r="K8" s="231"/>
      <c r="L8" s="49"/>
      <c r="M8" s="71"/>
      <c r="N8" s="71"/>
      <c r="O8" s="50"/>
      <c r="P8" s="46"/>
      <c r="Y8" s="63"/>
    </row>
    <row r="9" spans="1:45" ht="13.5" thickBot="1" x14ac:dyDescent="0.4">
      <c r="A9" s="102"/>
      <c r="B9" s="97" t="s">
        <v>142</v>
      </c>
      <c r="C9" s="85"/>
      <c r="D9" s="14">
        <v>18700</v>
      </c>
      <c r="E9" s="85"/>
      <c r="F9" s="85"/>
      <c r="G9" s="86"/>
      <c r="H9" s="103"/>
      <c r="I9" s="63"/>
      <c r="J9" s="46"/>
      <c r="K9" s="60"/>
      <c r="L9" s="41" t="s">
        <v>35</v>
      </c>
      <c r="M9" s="42" t="s">
        <v>6</v>
      </c>
      <c r="N9" s="42" t="s">
        <v>7</v>
      </c>
      <c r="O9" s="45" t="s">
        <v>8</v>
      </c>
      <c r="P9" s="46"/>
    </row>
    <row r="10" spans="1:45" ht="26" x14ac:dyDescent="0.35">
      <c r="A10" s="102"/>
      <c r="B10" s="97" t="s">
        <v>31</v>
      </c>
      <c r="C10" s="85"/>
      <c r="D10" s="14">
        <v>69000</v>
      </c>
      <c r="E10" s="85"/>
      <c r="F10" s="85"/>
      <c r="G10" s="86"/>
      <c r="H10" s="103"/>
      <c r="I10" s="63"/>
      <c r="J10" s="46"/>
      <c r="K10" s="228" t="s">
        <v>93</v>
      </c>
      <c r="L10" s="43" t="str" cm="1">
        <f t="array" ref="L10">_xlfn.LET(
  _xlpm.todos,
    _xlfn.VSTACK(
      C33:C38,
      C59:C64,
      C85:C90,
      C111:C116
    ),
  IFERROR(
    _xlfn._xlws.FILTER(_xlpm.todos, _xlpm.todos&lt;&gt;""),
    ""
  )
)</f>
        <v/>
      </c>
      <c r="M10" s="43" t="str" cm="1">
        <f t="array" ref="M10:M12">_xlfn.LET(
  _xlpm.todos,
    _xlfn.VSTACK(
      D33:D38,
      D59:D64,
      D85:D90,
      D111:D116
    ),
  IFERROR(
    _xlfn._xlws.FILTER(_xlpm.todos, _xlpm.todos&lt;&gt;""),
    ""
  )
)</f>
        <v>CT1D-H11</v>
      </c>
      <c r="N10" s="43" t="str" cm="1">
        <f t="array" ref="N10:N13">_xlfn.LET(
  _xlpm.todos,
    _xlfn.VSTACK(
      E33:E38,
      E59:E64,
      E85:E90,
      E111:E116
    ),
  IFERROR(
    _xlfn._xlws.FILTER(_xlpm.todos, _xlpm.todos&lt;&gt;""),
    ""
  )
)</f>
        <v>CT1D-H21</v>
      </c>
      <c r="O10" s="72" t="str" cm="1">
        <f t="array" ref="O10:O12">_xlfn.LET(
  _xlpm.todos,
    _xlfn.VSTACK(
      F33:F38,
      F59:F64,
      F85:F90,
      F111:F116
    ),
  IFERROR(
    _xlfn._xlws.FILTER(_xlpm.todos, _xlpm.todos&lt;&gt;""),
    ""
  )
)</f>
        <v>CT1D-H31</v>
      </c>
      <c r="P10" s="46"/>
      <c r="AH10" s="1" t="s">
        <v>78</v>
      </c>
      <c r="AK10" s="1" t="s">
        <v>36</v>
      </c>
      <c r="AL10" s="1" t="s">
        <v>23</v>
      </c>
      <c r="AM10" s="1" t="s">
        <v>24</v>
      </c>
      <c r="AN10" s="1" t="s">
        <v>27</v>
      </c>
      <c r="AO10" s="8" t="s">
        <v>11</v>
      </c>
      <c r="AQ10" s="8" t="s">
        <v>17</v>
      </c>
      <c r="AS10" s="8" t="s">
        <v>12</v>
      </c>
    </row>
    <row r="11" spans="1:45" ht="26" x14ac:dyDescent="0.35">
      <c r="A11" s="102"/>
      <c r="B11" s="97" t="s">
        <v>33</v>
      </c>
      <c r="C11" s="85"/>
      <c r="D11" s="15">
        <f>D9/(SQRT(3)*D10/1000)</f>
        <v>156.47029034559424</v>
      </c>
      <c r="E11" s="85"/>
      <c r="F11" s="85"/>
      <c r="G11" s="86"/>
      <c r="H11" s="103"/>
      <c r="I11" s="63"/>
      <c r="J11" s="46"/>
      <c r="K11" s="229"/>
      <c r="L11" s="44"/>
      <c r="M11" s="44" t="str">
        <v>CT1O-H11</v>
      </c>
      <c r="N11" s="44" t="str">
        <v>CT1O-H21</v>
      </c>
      <c r="O11" s="73" t="str">
        <v>CT1O-H31</v>
      </c>
      <c r="P11" s="46"/>
      <c r="AH11" s="1" t="s">
        <v>77</v>
      </c>
      <c r="AK11" s="1" t="s">
        <v>37</v>
      </c>
      <c r="AL11" s="1">
        <v>50</v>
      </c>
      <c r="AM11" s="1" t="s">
        <v>25</v>
      </c>
      <c r="AN11" s="1" t="s">
        <v>29</v>
      </c>
      <c r="AO11" s="7" t="s">
        <v>5</v>
      </c>
      <c r="AQ11" s="7" t="s">
        <v>19</v>
      </c>
      <c r="AS11" s="7" t="s">
        <v>13</v>
      </c>
    </row>
    <row r="12" spans="1:45" ht="26" x14ac:dyDescent="0.35">
      <c r="A12" s="102"/>
      <c r="B12" s="97" t="s">
        <v>32</v>
      </c>
      <c r="C12" s="85"/>
      <c r="D12" s="14">
        <v>12470</v>
      </c>
      <c r="E12" s="85"/>
      <c r="F12" s="85"/>
      <c r="G12" s="86"/>
      <c r="H12" s="103"/>
      <c r="I12" s="63"/>
      <c r="J12" s="46"/>
      <c r="K12" s="229"/>
      <c r="L12" s="44"/>
      <c r="M12" s="44" t="str">
        <v>CT2-H11</v>
      </c>
      <c r="N12" s="44" t="str">
        <v>CT2-H21</v>
      </c>
      <c r="O12" s="73" t="str">
        <v>CT2-H31</v>
      </c>
      <c r="P12" s="46"/>
      <c r="AH12" s="1" t="s">
        <v>80</v>
      </c>
      <c r="AK12" s="1" t="s">
        <v>38</v>
      </c>
      <c r="AL12" s="1">
        <v>60</v>
      </c>
      <c r="AM12" s="1" t="s">
        <v>26</v>
      </c>
      <c r="AN12" s="1" t="s">
        <v>28</v>
      </c>
      <c r="AO12" s="7" t="s">
        <v>4</v>
      </c>
      <c r="AQ12" s="7" t="s">
        <v>18</v>
      </c>
      <c r="AS12" s="7" t="s">
        <v>14</v>
      </c>
    </row>
    <row r="13" spans="1:45" ht="39" x14ac:dyDescent="0.35">
      <c r="A13" s="102"/>
      <c r="B13" s="97" t="s">
        <v>34</v>
      </c>
      <c r="C13" s="85"/>
      <c r="D13" s="15">
        <f>D9/(SQRT(3)*D12/1000)</f>
        <v>865.79390808708911</v>
      </c>
      <c r="E13" s="85"/>
      <c r="F13" s="85"/>
      <c r="G13" s="86"/>
      <c r="H13" s="103"/>
      <c r="I13" s="63"/>
      <c r="J13" s="46"/>
      <c r="K13" s="229"/>
      <c r="L13" s="44"/>
      <c r="M13" s="44"/>
      <c r="N13" s="44" t="str">
        <v>CT5-H21</v>
      </c>
      <c r="O13" s="73"/>
      <c r="P13" s="46"/>
      <c r="AH13" s="1" t="s">
        <v>76</v>
      </c>
      <c r="AK13" s="1" t="s">
        <v>39</v>
      </c>
      <c r="AN13" s="1" t="s">
        <v>30</v>
      </c>
      <c r="AO13" s="7" t="s">
        <v>16</v>
      </c>
      <c r="AS13" s="7" t="s">
        <v>15</v>
      </c>
    </row>
    <row r="14" spans="1:45" x14ac:dyDescent="0.35">
      <c r="A14" s="102"/>
      <c r="B14" s="97" t="s">
        <v>1</v>
      </c>
      <c r="C14" s="85"/>
      <c r="D14" s="16" t="s">
        <v>39</v>
      </c>
      <c r="E14" s="85"/>
      <c r="F14" s="85"/>
      <c r="G14" s="86"/>
      <c r="H14" s="103"/>
      <c r="I14" s="63"/>
      <c r="J14" s="46"/>
      <c r="K14" s="229"/>
      <c r="L14" s="44"/>
      <c r="M14" s="44"/>
      <c r="N14" s="44"/>
      <c r="O14" s="73"/>
      <c r="P14" s="46"/>
      <c r="AH14" s="1" t="s">
        <v>79</v>
      </c>
    </row>
    <row r="15" spans="1:45" x14ac:dyDescent="0.35">
      <c r="A15" s="102"/>
      <c r="B15" s="97" t="s">
        <v>23</v>
      </c>
      <c r="C15" s="85"/>
      <c r="D15" s="14">
        <v>60</v>
      </c>
      <c r="E15" s="85"/>
      <c r="F15" s="85"/>
      <c r="G15" s="86"/>
      <c r="H15" s="103"/>
      <c r="I15" s="63"/>
      <c r="J15" s="46"/>
      <c r="K15" s="229"/>
      <c r="L15" s="44"/>
      <c r="M15" s="44"/>
      <c r="N15" s="44"/>
      <c r="O15" s="73"/>
      <c r="P15" s="46"/>
    </row>
    <row r="16" spans="1:45" x14ac:dyDescent="0.35">
      <c r="A16" s="102"/>
      <c r="B16" s="213" t="s">
        <v>99</v>
      </c>
      <c r="C16" s="10" t="s">
        <v>87</v>
      </c>
      <c r="D16" s="12">
        <v>18</v>
      </c>
      <c r="E16" s="85" t="s">
        <v>95</v>
      </c>
      <c r="F16" s="85"/>
      <c r="G16" s="86"/>
      <c r="H16" s="103"/>
      <c r="I16" s="63"/>
      <c r="J16" s="46"/>
      <c r="K16" s="229"/>
      <c r="L16" s="44"/>
      <c r="M16" s="44"/>
      <c r="N16" s="44"/>
      <c r="O16" s="73"/>
      <c r="P16" s="46"/>
    </row>
    <row r="17" spans="1:21" x14ac:dyDescent="0.35">
      <c r="A17" s="102"/>
      <c r="B17" s="213"/>
      <c r="C17" s="10" t="s">
        <v>35</v>
      </c>
      <c r="D17" s="12">
        <v>0</v>
      </c>
      <c r="E17" s="85" t="s">
        <v>95</v>
      </c>
      <c r="F17" s="85"/>
      <c r="G17" s="88"/>
      <c r="H17" s="103"/>
      <c r="I17" s="63"/>
      <c r="J17" s="46"/>
      <c r="K17" s="229"/>
      <c r="L17" s="47"/>
      <c r="M17" s="47"/>
      <c r="N17" s="47"/>
      <c r="O17" s="74"/>
      <c r="P17" s="46"/>
    </row>
    <row r="18" spans="1:21" x14ac:dyDescent="0.35">
      <c r="A18" s="102"/>
      <c r="B18" s="213"/>
      <c r="C18" s="11"/>
      <c r="D18" s="13"/>
      <c r="E18" s="85" t="s">
        <v>95</v>
      </c>
      <c r="F18" s="85"/>
      <c r="G18" s="86"/>
      <c r="H18" s="103"/>
      <c r="I18" s="63"/>
      <c r="J18" s="46"/>
      <c r="K18" s="229"/>
      <c r="L18" s="47"/>
      <c r="M18" s="47"/>
      <c r="N18" s="47"/>
      <c r="O18" s="74"/>
      <c r="P18" s="46"/>
    </row>
    <row r="19" spans="1:21" x14ac:dyDescent="0.35">
      <c r="A19" s="102"/>
      <c r="B19" s="213"/>
      <c r="C19" s="10"/>
      <c r="D19" s="12"/>
      <c r="E19" s="85" t="s">
        <v>95</v>
      </c>
      <c r="F19" s="85"/>
      <c r="G19" s="86"/>
      <c r="H19" s="103"/>
      <c r="I19" s="63"/>
      <c r="J19" s="46"/>
      <c r="K19" s="229"/>
      <c r="L19" s="47"/>
      <c r="M19" s="47"/>
      <c r="N19" s="47"/>
      <c r="O19" s="74"/>
      <c r="P19" s="46"/>
    </row>
    <row r="20" spans="1:21" ht="13.5" thickBot="1" x14ac:dyDescent="0.4">
      <c r="A20" s="102"/>
      <c r="B20" s="91"/>
      <c r="C20" s="92"/>
      <c r="D20" s="92"/>
      <c r="E20" s="92"/>
      <c r="F20" s="92"/>
      <c r="G20" s="93"/>
      <c r="H20" s="103"/>
      <c r="I20" s="63"/>
      <c r="J20" s="46"/>
      <c r="K20" s="229"/>
      <c r="L20" s="48"/>
      <c r="M20" s="48"/>
      <c r="N20" s="48"/>
      <c r="O20" s="75"/>
      <c r="P20" s="46"/>
    </row>
    <row r="21" spans="1:21" x14ac:dyDescent="0.35">
      <c r="A21" s="102"/>
      <c r="B21" s="223" t="s">
        <v>102</v>
      </c>
      <c r="C21" s="223"/>
      <c r="D21" s="223"/>
      <c r="E21" s="223"/>
      <c r="F21" s="223"/>
      <c r="G21" s="223"/>
      <c r="H21" s="103"/>
      <c r="I21" s="63"/>
      <c r="J21" s="46"/>
      <c r="K21" s="60"/>
      <c r="L21" s="76"/>
      <c r="M21" s="76"/>
      <c r="N21" s="76"/>
      <c r="O21" s="52"/>
      <c r="P21" s="46"/>
    </row>
    <row r="22" spans="1:21" ht="13.5" thickBot="1" x14ac:dyDescent="0.4">
      <c r="A22" s="102"/>
      <c r="B22" s="223"/>
      <c r="C22" s="223"/>
      <c r="D22" s="223"/>
      <c r="E22" s="223"/>
      <c r="F22" s="223"/>
      <c r="G22" s="223"/>
      <c r="H22" s="103"/>
      <c r="I22" s="63"/>
      <c r="J22" s="46"/>
      <c r="K22" s="77"/>
      <c r="L22" s="78"/>
      <c r="M22" s="78"/>
      <c r="N22" s="78"/>
      <c r="O22" s="79"/>
      <c r="P22" s="46"/>
    </row>
    <row r="23" spans="1:21" x14ac:dyDescent="0.35">
      <c r="A23" s="102"/>
      <c r="B23" s="235" t="s">
        <v>0</v>
      </c>
      <c r="C23" s="214" t="s">
        <v>182</v>
      </c>
      <c r="D23" s="214"/>
      <c r="E23" s="214"/>
      <c r="F23" s="214"/>
      <c r="G23" s="237">
        <v>1</v>
      </c>
      <c r="H23" s="103"/>
      <c r="I23" s="63"/>
      <c r="J23" s="46"/>
      <c r="K23" s="219" t="s">
        <v>124</v>
      </c>
      <c r="L23" s="220"/>
      <c r="M23" s="220"/>
      <c r="N23" s="220"/>
      <c r="O23" s="221"/>
      <c r="P23" s="61"/>
    </row>
    <row r="24" spans="1:21" x14ac:dyDescent="0.35">
      <c r="A24" s="102"/>
      <c r="B24" s="236"/>
      <c r="C24" s="215"/>
      <c r="D24" s="215"/>
      <c r="E24" s="215"/>
      <c r="F24" s="215"/>
      <c r="G24" s="238"/>
      <c r="H24" s="103"/>
      <c r="I24" s="63"/>
      <c r="J24" s="46"/>
      <c r="K24" s="60"/>
      <c r="L24" s="99" t="s">
        <v>111</v>
      </c>
      <c r="M24" s="99" t="s">
        <v>110</v>
      </c>
      <c r="N24" s="100" t="s">
        <v>109</v>
      </c>
      <c r="O24" s="101" t="s">
        <v>116</v>
      </c>
      <c r="P24" s="46"/>
    </row>
    <row r="25" spans="1:21" x14ac:dyDescent="0.35">
      <c r="A25" s="102"/>
      <c r="B25" s="84" t="s">
        <v>82</v>
      </c>
      <c r="C25" s="24" t="s">
        <v>180</v>
      </c>
      <c r="D25" s="85"/>
      <c r="E25" s="85"/>
      <c r="F25" s="85"/>
      <c r="G25" s="86"/>
      <c r="H25" s="103"/>
      <c r="I25" s="63"/>
      <c r="J25" s="46"/>
      <c r="K25" s="60"/>
      <c r="L25" s="18" t="s">
        <v>113</v>
      </c>
      <c r="M25" s="18">
        <f>(C32*$C$39)+(C32+1)*(1/8)   +   (C58*$C$65)+(C58)*(1/8)   +   (C84*$C$91)+(C84)*(1/8)    +     (C110*$C$117)+(C110+1)*(1/8)  +   (1/4) * 2</f>
        <v>0.75</v>
      </c>
      <c r="N25" s="67">
        <f>D17</f>
        <v>0</v>
      </c>
      <c r="O25" s="37" t="str">
        <f>IF(N25&gt;M25, "All CTs Fit", IF(D17=0,"-","ERROR CTs don't fit"))</f>
        <v>-</v>
      </c>
      <c r="P25" s="46"/>
      <c r="S25" s="1"/>
      <c r="T25" s="1"/>
      <c r="U25" s="1"/>
    </row>
    <row r="26" spans="1:21" x14ac:dyDescent="0.35">
      <c r="A26" s="102"/>
      <c r="B26" s="84" t="s">
        <v>9</v>
      </c>
      <c r="C26" s="16" t="s">
        <v>16</v>
      </c>
      <c r="D26" s="85"/>
      <c r="E26" s="85" t="str">
        <f>IF(OR(C26="WTI", C26="LDC"),"CT Accuracy", "")</f>
        <v/>
      </c>
      <c r="F26" s="14" t="s">
        <v>77</v>
      </c>
      <c r="G26" s="86"/>
      <c r="H26" s="103"/>
      <c r="I26" s="63"/>
      <c r="J26" s="46"/>
      <c r="K26" s="60"/>
      <c r="L26" s="18" t="s">
        <v>112</v>
      </c>
      <c r="M26" s="18">
        <f>(D32*$C$39)+(D32+1)*(1/8)   +   (D58*$C$65)+(D58)*(1/8)   +   (D84*$C$91)+(D84)*(1/8)    +     (D110*$C$117)+(D110+1)*(1/8)  +   (1/4) * 2</f>
        <v>13.125</v>
      </c>
      <c r="N26" s="67">
        <v>18</v>
      </c>
      <c r="O26" s="37" t="str">
        <f>IF(N26&gt;M26, "All CTs Fit", IF(D16=0,"-","ERROR CTs don't fit"))</f>
        <v>All CTs Fit</v>
      </c>
      <c r="P26" s="46"/>
    </row>
    <row r="27" spans="1:21" x14ac:dyDescent="0.35">
      <c r="A27" s="102"/>
      <c r="B27" s="84" t="s">
        <v>10</v>
      </c>
      <c r="C27" s="16" t="s">
        <v>18</v>
      </c>
      <c r="D27" s="85"/>
      <c r="E27" s="85"/>
      <c r="F27" s="85"/>
      <c r="G27" s="86"/>
      <c r="H27" s="103"/>
      <c r="I27" s="63"/>
      <c r="J27" s="46"/>
      <c r="K27" s="60"/>
      <c r="L27" s="18" t="s">
        <v>114</v>
      </c>
      <c r="M27" s="18">
        <f>(E32*$C$39)+(E32+1)*(1/8)   +   (E58*$C$65)+(E58)*(1/8)   +   (E84*$C$91)+(E84)*(1/8)    +     (E110*$C$117)+(E110+1)*(1/8)  +   (1/4) * 2</f>
        <v>17.25</v>
      </c>
      <c r="N27" s="67">
        <f>D16</f>
        <v>18</v>
      </c>
      <c r="O27" s="37" t="str">
        <f>IF(N27&gt;M27, "All CTs Fit", IF(D16=0,"-","ERROR CTs don't fit"))</f>
        <v>All CTs Fit</v>
      </c>
      <c r="P27" s="46"/>
    </row>
    <row r="28" spans="1:21" ht="13.5" thickBot="1" x14ac:dyDescent="0.4">
      <c r="A28" s="102"/>
      <c r="B28" s="84" t="s">
        <v>90</v>
      </c>
      <c r="C28" s="17">
        <v>4</v>
      </c>
      <c r="D28" s="85"/>
      <c r="E28" s="85"/>
      <c r="F28" s="85"/>
      <c r="G28" s="86"/>
      <c r="H28" s="103"/>
      <c r="I28" s="63"/>
      <c r="J28" s="46"/>
      <c r="K28" s="69"/>
      <c r="L28" s="38" t="s">
        <v>115</v>
      </c>
      <c r="M28" s="38">
        <f>(F32*$C$39)+(F32+1)*(1/8)   +   (F58*$C$65)+(F58)*(1/8)   +   (F84*$C$91)+(F84)*(1/8)    +     (F110*$C$117)+(F110+1)*(1/8)  +   (1/4) * 2</f>
        <v>13.125</v>
      </c>
      <c r="N28" s="70">
        <f>D16</f>
        <v>18</v>
      </c>
      <c r="O28" s="37" t="str">
        <f>IF(N28&gt;M28, "All CTs Fit", IF(D16=0,"-","ERROR CTs don't fit"))</f>
        <v>All CTs Fit</v>
      </c>
      <c r="P28" s="46"/>
    </row>
    <row r="29" spans="1:21" ht="13.5" thickBot="1" x14ac:dyDescent="0.4">
      <c r="A29" s="102"/>
      <c r="B29" s="84" t="s">
        <v>2</v>
      </c>
      <c r="C29" s="14" t="s">
        <v>26</v>
      </c>
      <c r="D29" s="85"/>
      <c r="E29" s="85"/>
      <c r="F29" s="85"/>
      <c r="G29" s="86"/>
      <c r="H29" s="103"/>
      <c r="I29" s="63"/>
      <c r="J29" s="46"/>
      <c r="K29" s="46"/>
      <c r="L29" s="46"/>
      <c r="M29" s="46"/>
      <c r="N29" s="51"/>
      <c r="O29" s="46"/>
      <c r="P29" s="46"/>
    </row>
    <row r="30" spans="1:21" ht="13.5" thickBot="1" x14ac:dyDescent="0.4">
      <c r="A30" s="102"/>
      <c r="B30" s="84" t="s">
        <v>3</v>
      </c>
      <c r="C30" s="31" t="s">
        <v>13</v>
      </c>
      <c r="D30" s="85"/>
      <c r="E30" s="85"/>
      <c r="F30" s="85"/>
      <c r="G30" s="86"/>
      <c r="H30" s="103"/>
      <c r="I30" s="63"/>
      <c r="J30" s="46"/>
      <c r="K30" s="56" t="s">
        <v>82</v>
      </c>
      <c r="L30" s="80" t="str">
        <f>C25</f>
        <v>CT1D</v>
      </c>
      <c r="M30" s="80" t="str">
        <f>C51</f>
        <v>CT1O</v>
      </c>
      <c r="N30" s="80" t="str">
        <f>C77</f>
        <v>CT2</v>
      </c>
      <c r="O30" s="81" t="str">
        <f>IF(OR($D$8=4,$D$8=5,$D$8=6,$D$8=7,$D$8=8),C103,"")</f>
        <v>CT5</v>
      </c>
      <c r="P30" s="46"/>
    </row>
    <row r="31" spans="1:21" x14ac:dyDescent="0.35">
      <c r="A31" s="102"/>
      <c r="B31" s="87" t="s">
        <v>85</v>
      </c>
      <c r="C31" s="32" t="s">
        <v>35</v>
      </c>
      <c r="D31" s="33" t="s">
        <v>6</v>
      </c>
      <c r="E31" s="33" t="s">
        <v>7</v>
      </c>
      <c r="F31" s="34" t="s">
        <v>8</v>
      </c>
      <c r="G31" s="88"/>
      <c r="H31" s="103"/>
      <c r="I31" s="63"/>
      <c r="J31" s="46"/>
      <c r="K31" s="57" t="s">
        <v>20</v>
      </c>
      <c r="L31" s="44" t="str">
        <f>IF(OR(D8=1,D8=2,D8=3,D8=4,D8=5,D8=6,D8=7,D8=8),IF($C$40=TRUE,$D$40&amp;" "&amp;$C$42,IF($D$14="ONAN","SR "&amp;ROUNDUP(1.25*$D$11,-1)&amp; " : 5",IF(OR($D$14="ONAN/ONAF",$D$14="ONAN/ONAF/ONAF"),"SR "&amp;ROUNDUP(1.1875*$D$11,-1) &amp; " : 5 "))), "")</f>
        <v>300/200/100 MR</v>
      </c>
      <c r="M31" s="44" t="str">
        <f>IF(OR($D$8=2,$D$8=3,$D$8=4,$D$8=5,$D$8=6,$D$8=7,$D$8=8),IF($C$66=TRUE,$D$66&amp;" "&amp;$C$68,IF($D$14="ONAN","SR "&amp;ROUNDUP(1.25*$D$11,-1)&amp; " : 5",IF(OR($D$14="ONAN/ONAF",$D$14="ONAN/ONAF/ONAF"),"SR "&amp;ROUNDUP(1.1875*$D$11,-1) &amp; " : 5 "))),"")</f>
        <v>300/200/100 MR</v>
      </c>
      <c r="N31" s="44" t="str">
        <f>IF(OR($D$8=3,$D$8=4,$D$8=5,$D$8=6,$D$8=7,$D$8=8),IF($C$92=TRUE,$D$92&amp;" "&amp;$C$94,IF($D$14="ONAN","SR "&amp;ROUNDUP(1.25*$D$11,-1)&amp; " : 5",IF(OR($D$14="ONAN/ONAF",$D$14="ONAN/ONAF/ONAF"),"SR "&amp;ROUNDUP(1.1875*$D$11,-1) &amp; " : 5 "))),"")</f>
        <v>800/600/200 MR</v>
      </c>
      <c r="O31" s="73" t="str">
        <f>IF(OR($D$8=4,$D$8=5,$D$8=6,$D$8=7,$D$8=8),IF($C$118=TRUE,$D$118&amp;" "&amp;$C$120,IF($D$14="ONAN","SR "&amp;ROUNDUP(1.25*$D$11,-1)&amp; " : 5",IF(OR($D$14="ONAN/ONAF",$D$14="ONAN/ONAF/ONAF"),"SR "&amp;ROUNDUP(1.1875*$D$11,-1) &amp; " : 5 "))),"")</f>
        <v xml:space="preserve">SR 190 : 5 </v>
      </c>
      <c r="P31" s="46"/>
    </row>
    <row r="32" spans="1:21" x14ac:dyDescent="0.35">
      <c r="A32" s="102"/>
      <c r="B32" s="87" t="s">
        <v>84</v>
      </c>
      <c r="C32" s="35">
        <v>0</v>
      </c>
      <c r="D32" s="14">
        <v>1</v>
      </c>
      <c r="E32" s="14">
        <v>1</v>
      </c>
      <c r="F32" s="36">
        <v>1</v>
      </c>
      <c r="G32" s="88"/>
      <c r="H32" s="103"/>
      <c r="I32" s="63"/>
      <c r="J32" s="46"/>
      <c r="K32" s="57" t="s">
        <v>21</v>
      </c>
      <c r="L32" s="44" t="str">
        <f>IF(OR(D8=1,D8=2,D8=3,D8=4,D8=5,D8=6,D8=7,D8=8),IF($C$41=TRUE,$D$41&amp;" @ "&amp;$D$40&amp;": 5 ",$F$26),"")</f>
        <v xml:space="preserve">10L200 @ 300/200/100: 5 </v>
      </c>
      <c r="M32" s="44" t="str">
        <f>IF(OR($D$8=2,$D$8=3,$D$8=4,$D$8=5,$D$8=6,$D$8=7,$D$8=8),IF($C$66=TRUE, $D$67 &amp; " @ " &amp; $D$66 &amp;": 5 ", $F$52),"")</f>
        <v xml:space="preserve">10L200 @ 300/200/100: 5 </v>
      </c>
      <c r="N32" s="44" t="str">
        <f>IF(OR($D$8=3,$D$8=4,$D$8=5,$D$8=6,$D$8=7,$D$8=8),IF($C$92=TRUE, $D$93 &amp; " @ " &amp; $D$92 &amp;": 5 ", $F$78),"")</f>
        <v xml:space="preserve">10L400 @ 800/600/200: 5 </v>
      </c>
      <c r="O32" s="73" t="str">
        <f>IF(OR($D$8=4,$D$8=5,$D$8=6,$D$8=7,$D$8=8),IF($C$118=TRUE, $D$119 &amp; " @ " &amp; $D$118 &amp;": 5 ", $F$104),"")</f>
        <v>10L20</v>
      </c>
      <c r="P32" s="46"/>
    </row>
    <row r="33" spans="1:17" x14ac:dyDescent="0.35">
      <c r="A33" s="102"/>
      <c r="B33" s="232" t="s">
        <v>86</v>
      </c>
      <c r="C33" s="175" t="str">
        <f>IF(
  ROWS($C$33:C33)&lt;= $C$32,
  $C$25 &amp; "-" &amp; C$31 &amp; ROWS($C$33:C33),
  ""
)</f>
        <v/>
      </c>
      <c r="D33" s="176" t="str">
        <f>IF(
  ROWS($D$33:D33)&lt;= $D$32,
  $C$25 &amp; "-" &amp; D$31 &amp; ROWS($D$33:D33),
  ""
)</f>
        <v>CT1D-H11</v>
      </c>
      <c r="E33" s="176" t="str">
        <f>IF(
  ROWS($E$33:E33)&lt;= $E$32,
  $C$25 &amp; "-" &amp; E$31 &amp; ROWS($E$33:E33),
  ""
)</f>
        <v>CT1D-H21</v>
      </c>
      <c r="F33" s="177" t="str">
        <f>IF(
  ROWS($F$33:F33)&lt;= $F$32,
  $C$25 &amp; "-" &amp; F$31 &amp; ROWS($F$33:F33),
  ""
)</f>
        <v>CT1D-H31</v>
      </c>
      <c r="G33" s="88"/>
      <c r="H33" s="103"/>
      <c r="I33" s="63"/>
      <c r="J33" s="46"/>
      <c r="K33" s="57" t="s">
        <v>22</v>
      </c>
      <c r="L33" s="44">
        <f>IF(OR(D8=1,D8=2,D8=3,D8=4,D8=5,D8=6,D8=7,D8=8),$D$15,"")</f>
        <v>60</v>
      </c>
      <c r="M33" s="44">
        <f>IF(OR($D$8=2,$D$8=3,$D$8=4,$D$8=5,$D$8=6,$D$8=7,$D$8=8),$D$15,"")</f>
        <v>60</v>
      </c>
      <c r="N33" s="44">
        <f>IF(OR($D$8=3,$D$8=4,$D$8=5,$D$8=6,$D$8=7,$D$8=8),$D$15,"")</f>
        <v>60</v>
      </c>
      <c r="O33" s="73">
        <f>IF(OR($D$8=4,$D$8=5,$D$8=6,$D$8=7,$D$8=8),$D$15,"")</f>
        <v>60</v>
      </c>
      <c r="P33" s="46"/>
    </row>
    <row r="34" spans="1:17" x14ac:dyDescent="0.35">
      <c r="A34" s="102"/>
      <c r="B34" s="232"/>
      <c r="C34" s="175" t="str">
        <f>IF(
  ROWS($C$33:C34)&lt;= $C$32,
  $C$25 &amp; "-" &amp; C$31 &amp; ROWS($C$33:C34),
  ""
)</f>
        <v/>
      </c>
      <c r="D34" s="176" t="str">
        <f>IF(
  ROWS($D$33:D34)&lt;= $D$32,
  $C$25 &amp; "-" &amp; D$31 &amp; ROWS($D$33:D34),
  ""
)</f>
        <v/>
      </c>
      <c r="E34" s="176" t="str">
        <f>IF(
  ROWS($E$33:E34)&lt;= $E$32,
  $C$25 &amp; "-" &amp; E$31 &amp; ROWS($E$33:E34),
  ""
)</f>
        <v/>
      </c>
      <c r="F34" s="177" t="str">
        <f>IF(
  ROWS($F$33:F34)&lt;= $F$32,
  $C$25 &amp; "-" &amp; F$31 &amp; ROWS($F$33:F34),
  ""
)</f>
        <v/>
      </c>
      <c r="G34" s="88"/>
      <c r="H34" s="103"/>
      <c r="I34" s="63"/>
      <c r="J34" s="46"/>
      <c r="K34" s="57" t="s">
        <v>117</v>
      </c>
      <c r="L34" s="173" t="str">
        <f>IF(OR(D8=1,D8=2,D8=3,D8=4,D8=5,D8=6,D8=7,D8=8),IF($C$29="Yes",($C$28+1.75), ($C$28+1)),"")&amp;""""</f>
        <v>5"</v>
      </c>
      <c r="M34" s="173" t="str">
        <f>IF(OR($D$8=2,$D$8=3,$D$8=4,$D$8=5,$D$8=6,$D$8=7,$D$8=8),IF($C$55="Yes",($C$54+1.75), ($C$28+1)),"")&amp;""""</f>
        <v>5"</v>
      </c>
      <c r="N34" s="173" t="str">
        <f>IF(OR($D$8=3,$D$8=4,$D$8=5,$D$8=6,$D$8=7,$D$8=8),IF($C$81="Yes",($C$80+1.75), ($C$28+1)),"")&amp;""""</f>
        <v>5"</v>
      </c>
      <c r="O34" s="174" t="str">
        <f>IF(OR($D$8=4,$D$8=5,$D$8=6,$D$8=7,$D$8=8),IF($C$107="Yes",($C$106+1.75), ($C$28+1)),"")&amp;""""</f>
        <v>5"</v>
      </c>
      <c r="P34" s="66"/>
    </row>
    <row r="35" spans="1:17" x14ac:dyDescent="0.35">
      <c r="A35" s="102"/>
      <c r="B35" s="232"/>
      <c r="C35" s="175" t="str">
        <f>IF(
  ROWS($C$33:C35)&lt;= $C$32,
  $C$25 &amp; "-" &amp; C$31 &amp; ROWS($C$33:C35),
  ""
)</f>
        <v/>
      </c>
      <c r="D35" s="176" t="str">
        <f>IF(
  ROWS($D$33:D35)&lt;= $D$32,
  $C$25 &amp; "-" &amp; D$31 &amp; ROWS($D$33:D35),
  ""
)</f>
        <v/>
      </c>
      <c r="E35" s="176" t="str">
        <f>IF(
  ROWS($E$33:E35)&lt;= $E$32,
  $C$25 &amp; "-" &amp; E$31 &amp; ROWS($E$33:E35),
  ""
)</f>
        <v/>
      </c>
      <c r="F35" s="177" t="str">
        <f>IF(
  ROWS($F$33:F35)&lt;= $F$32,
  $C$25 &amp; "-" &amp; F$31 &amp; ROWS($F$33:F35),
  ""
)</f>
        <v/>
      </c>
      <c r="G35" s="88"/>
      <c r="H35" s="103"/>
      <c r="I35" s="63"/>
      <c r="J35" s="46"/>
      <c r="K35" s="57" t="s">
        <v>118</v>
      </c>
      <c r="L35" s="44" t="str">
        <f>IF(OR(D8=1,D8=2,D8=3,D8=4,D8=5,D8=6,D8=7,D8=8),"Per Supplier design.","")</f>
        <v>Per Supplier design.</v>
      </c>
      <c r="M35" s="44" t="str">
        <f>IF(OR($D$8=2,$D$8=3,$D$8=4,$D$8=5,$D$8=6,$D$8=7,$D$8=8),"Per Supplier design.","")</f>
        <v>Per Supplier design.</v>
      </c>
      <c r="N35" s="44" t="str">
        <f>IF(OR($D$8=3,$D$8=4,$D$8=5,$D$8=6,$D$8=7,$D$8=8),"Per Supplier design.","")</f>
        <v>Per Supplier design.</v>
      </c>
      <c r="O35" s="73" t="str">
        <f>IF(OR($D$8=4,$D$8=5,$D$8=6,$D$8=7,$D$8=8),"Per Supplier design.","")</f>
        <v>Per Supplier design.</v>
      </c>
      <c r="P35" s="66"/>
    </row>
    <row r="36" spans="1:17" x14ac:dyDescent="0.35">
      <c r="A36" s="102"/>
      <c r="B36" s="232"/>
      <c r="C36" s="175" t="str">
        <f>IF(
  ROWS($C$33:C36)&lt;= $C$32,
  $C$25 &amp; "-" &amp; C$31 &amp; ROWS($C$33:C36),
  ""
)</f>
        <v/>
      </c>
      <c r="D36" s="176" t="str">
        <f>IF(
  ROWS($D$33:D36)&lt;= $D$32,
  $C$25 &amp; "-" &amp; D$31 &amp; ROWS($D$33:D36),
  ""
)</f>
        <v/>
      </c>
      <c r="E36" s="176" t="str">
        <f>IF(
  ROWS($E$33:E36)&lt;= $E$32,
  $C$25 &amp; "-" &amp; E$31 &amp; ROWS($E$33:E36),
  ""
)</f>
        <v/>
      </c>
      <c r="F36" s="177" t="str">
        <f>IF(
  ROWS($F$33:F36)&lt;= $F$32,
  $C$25 &amp; "-" &amp; F$31 &amp; ROWS($F$33:F36),
  ""
)</f>
        <v/>
      </c>
      <c r="G36" s="88"/>
      <c r="H36" s="103"/>
      <c r="I36" s="63"/>
      <c r="J36" s="46"/>
      <c r="K36" s="57" t="s">
        <v>92</v>
      </c>
      <c r="L36" s="44">
        <f>IF(OR(D8=1,D8=2,D8=3,D8=4,D8=5,D8=6,D8=7,D8=8),IF($C$39&lt;&gt;"",$C$39,"Per Supplier design."),"")</f>
        <v>4</v>
      </c>
      <c r="M36" s="44">
        <f>IF(OR($D$8=2,$D$8=3,$D$8=4,$D$8=5,$D$8=6,$D$8=7,$D$8=8),IF($C$65&lt;&gt;"",$C$65,"Per Supplier design."),"")</f>
        <v>4</v>
      </c>
      <c r="N36" s="44">
        <f>IF(OR($D$8=3,$D$8=4,$D$8=5,$D$8=6,$D$8=7,$D$8=8),IF($C$91&lt;&gt;"",$C$65,"Per Supplier design."),"")</f>
        <v>4</v>
      </c>
      <c r="O36" s="73">
        <f>IF(OR($D$8=4,$D$8=5,$D$8=6,$D$8=7,$D$8=8),IF($C$117&lt;&gt;"",$C$65,"Per Supplier design."),"")</f>
        <v>4</v>
      </c>
      <c r="P36" s="66"/>
    </row>
    <row r="37" spans="1:17" x14ac:dyDescent="0.35">
      <c r="A37" s="102"/>
      <c r="B37" s="232"/>
      <c r="C37" s="175" t="str">
        <f>IF(
  ROWS($C$33:C37)&lt;= $C$32,
  $C$25 &amp; "-" &amp; C$31 &amp; ROWS($C$33:C37),
  ""
)</f>
        <v/>
      </c>
      <c r="D37" s="176" t="str">
        <f>IF(
  ROWS($D$33:D37)&lt;= $D$32,
  $C$25 &amp; "-" &amp; D$31 &amp; ROWS($D$33:D37),
  ""
)</f>
        <v/>
      </c>
      <c r="E37" s="176" t="str">
        <f>IF(
  ROWS($E$33:E37)&lt;= $E$32,
  $C$25 &amp; "-" &amp; E$31 &amp; ROWS($E$33:E37),
  ""
)</f>
        <v/>
      </c>
      <c r="F37" s="177" t="str">
        <f>IF(
  ROWS($F$33:F37)&lt;= $F$32,
  $C$25 &amp; "-" &amp; F$31 &amp; ROWS($F$33:F37),
  ""
)</f>
        <v/>
      </c>
      <c r="G37" s="88"/>
      <c r="H37" s="103"/>
      <c r="I37" s="63"/>
      <c r="J37" s="46"/>
      <c r="K37" s="58" t="s">
        <v>91</v>
      </c>
      <c r="L37" s="44">
        <f>IF(OR(D8=1,D8=2,D8=3,D8=4,D8=5,D8=6,D8=7,D8=8),$C$43,"")</f>
        <v>2</v>
      </c>
      <c r="M37" s="44">
        <f>IF(OR($D$8=2,$D$8=3,$D$8=4,$D$8=5,$D$8=6,$D$8=7,$D$8=8),$C$69,"")</f>
        <v>2</v>
      </c>
      <c r="N37" s="44">
        <f>IF(OR($D$8=3,$D$8=4,$D$8=5,$D$8=6,$D$8=7,$D$8=8),$C$95,"")</f>
        <v>2</v>
      </c>
      <c r="O37" s="73">
        <f>IF(OR($D$8=4,$D$8=5,$D$8=6,$D$8=7,$D$8=8),$C$95,"")</f>
        <v>2</v>
      </c>
      <c r="P37" s="66"/>
    </row>
    <row r="38" spans="1:17" ht="13.5" thickBot="1" x14ac:dyDescent="0.4">
      <c r="A38" s="102"/>
      <c r="B38" s="232"/>
      <c r="C38" s="178" t="str">
        <f>IF(
  ROWS($C$33:C38)&lt;= $C$32,
  $C$25 &amp; "-" &amp; C$31 &amp; ROWS($C$33:C38),
  ""
)</f>
        <v/>
      </c>
      <c r="D38" s="179" t="str">
        <f>IF(
  ROWS($D$33:D38)&lt;= $D$32,
  $C$25 &amp; "-" &amp; D$31 &amp; ROWS($D$33:D38),
  ""
)</f>
        <v/>
      </c>
      <c r="E38" s="179" t="str">
        <f>IF(
  ROWS($E$33:E38)&lt;= $E$32,
  $C$25 &amp; "-" &amp; E$31 &amp; ROWS($E$33:E38),
  ""
)</f>
        <v/>
      </c>
      <c r="F38" s="180" t="str">
        <f>IF(
  ROWS($F$33:F38)&lt;= $F$32,
  $C$25 &amp; "-" &amp; F$31 &amp; ROWS($F$33:F38),
  ""
)</f>
        <v/>
      </c>
      <c r="G38" s="88"/>
      <c r="H38" s="103"/>
      <c r="I38" s="63"/>
      <c r="J38" s="46"/>
      <c r="K38" s="57" t="s">
        <v>97</v>
      </c>
      <c r="L38" s="44" t="str">
        <f>IF(OR(D8=1,D8=2,D8=3,D8=4,D8=5,D8=6,D8=7,D8=8),"#10 Tefzel, 24 ft Long","")</f>
        <v>#10 Tefzel, 24 ft Long</v>
      </c>
      <c r="M38" s="44" t="str">
        <f>IF(OR($D$8=2,$D$8=3,$D$8=4,$D$8=5,$D$8=6,$D$8=7,$D$8=8),"#10 Tefzel, 24 ft Long","")</f>
        <v>#10 Tefzel, 24 ft Long</v>
      </c>
      <c r="N38" s="44" t="str">
        <f>IF(OR($D$8=3,$D$8=4,$D$8=5,$D$8=6,$D$8=7,$D$8=8),"#10 Tefzel, 24 ft Long","")</f>
        <v>#10 Tefzel, 24 ft Long</v>
      </c>
      <c r="O38" s="73" t="str">
        <f>IF(OR($D$8=4,$D$8=5,$D$8=6,$D$8=7,$D$8=8),"#10 Tefzel, 24 ft Long","")</f>
        <v>#10 Tefzel, 24 ft Long</v>
      </c>
      <c r="P38" s="66"/>
    </row>
    <row r="39" spans="1:17" ht="39" x14ac:dyDescent="0.35">
      <c r="A39" s="102"/>
      <c r="B39" s="84" t="s">
        <v>119</v>
      </c>
      <c r="C39" s="23">
        <v>4</v>
      </c>
      <c r="D39" s="85"/>
      <c r="E39" s="85"/>
      <c r="F39" s="85"/>
      <c r="G39" s="88"/>
      <c r="H39" s="103"/>
      <c r="I39" s="63"/>
      <c r="J39" s="46"/>
      <c r="K39" s="59" t="s">
        <v>98</v>
      </c>
      <c r="L39" s="47" t="str">
        <f>IF(OR(D8=1,D8=2,D8=3,D8=4,D8=5,D8=6,D8=7,D8=8),$C$44,"")</f>
        <v>This CT is intended for use inside a transformer filled with mineral oil.</v>
      </c>
      <c r="M39" s="47" t="str">
        <f>IF(OR($D$8=2,$D$8=3,$D$8=4,$D$8=5,$D$8=6,$D$8=7,$D$8=8),$C$70,"")</f>
        <v>This CT is intended for use inside a transformer filled with mineral oil.</v>
      </c>
      <c r="N39" s="47" t="str">
        <f>IF(OR($D$8=3,$D$8=4,$D$8=5,$D$8=6,$D$8=7,$D$8=8),$C$96,"")</f>
        <v>This CT is intended for use inside a transformer filled with mineral oil.</v>
      </c>
      <c r="O39" s="74" t="str">
        <f>IF(OR($D$8=4,$D$8=5,$D$8=6,$D$8=7,$D$8=8),$C$122,"")</f>
        <v>This CT is intended for use inside a transformer filled with mineral oil.</v>
      </c>
      <c r="P39" s="66"/>
    </row>
    <row r="40" spans="1:17" x14ac:dyDescent="0.35">
      <c r="A40" s="102"/>
      <c r="B40" s="84" t="s">
        <v>120</v>
      </c>
      <c r="C40" s="19" t="b">
        <f>IF(OR(C26="WTI", C26="LDC"),FALSE,TRUE)</f>
        <v>1</v>
      </c>
      <c r="D40" s="21" t="s">
        <v>105</v>
      </c>
      <c r="E40" s="85"/>
      <c r="F40" s="85"/>
      <c r="G40" s="88"/>
      <c r="H40" s="103"/>
      <c r="I40" s="63"/>
      <c r="J40" s="46"/>
      <c r="K40" s="59" t="s">
        <v>0</v>
      </c>
      <c r="L40" s="47" t="str">
        <f>IF(OR(D8=1,D8=2,D8=3,D8=4,D8=5,D8=6,D8=7,D8=8),$C$23,"")</f>
        <v>Differential CT</v>
      </c>
      <c r="M40" s="47" t="str">
        <f>IF(OR($D$8=2,$D$8=3,$D$8=4,$D$8=5,$D$8=6,$D$8=7,$D$8=8),$C$49,"")</f>
        <v>Overcurrent CT</v>
      </c>
      <c r="N40" s="47" t="str">
        <f>IF(OR($D$8=3,$D$8=4,$D$8=5,$D$8=6,$D$8=7,$D$8=8),$C$75,"")</f>
        <v>Instantaneous Overcurrent</v>
      </c>
      <c r="O40" s="74" t="str">
        <f>IF(OR($D$8=4,$D$8=5,$D$8=6,$D$8=7,$D$8=8),$C$101,"")</f>
        <v>HV WTI CT</v>
      </c>
      <c r="P40" s="66"/>
    </row>
    <row r="41" spans="1:17" x14ac:dyDescent="0.35">
      <c r="A41" s="102"/>
      <c r="B41" s="84" t="s">
        <v>121</v>
      </c>
      <c r="C41" s="19" t="b">
        <f>IF(OR(C26="WTI", C26="LDC"),FALSE,TRUE)</f>
        <v>1</v>
      </c>
      <c r="D41" s="21" t="s">
        <v>106</v>
      </c>
      <c r="E41" s="85"/>
      <c r="F41" s="85"/>
      <c r="G41" s="88"/>
      <c r="H41" s="103"/>
      <c r="I41" s="63"/>
      <c r="J41" s="46"/>
      <c r="K41" s="59" t="s">
        <v>35</v>
      </c>
      <c r="L41" s="47">
        <f>IF(OR(D8=1,D8=2,D8=3,D8=4,D8=5,D8=6,D8=7,D8=8),$C$32,"")</f>
        <v>0</v>
      </c>
      <c r="M41" s="47">
        <f>IF(OR($D$8=2,$D$8=3,$D$8=4,$D$8=5,$D$8=6,$D$8=7,$D$8=8),$C$58,"")</f>
        <v>0</v>
      </c>
      <c r="N41" s="47">
        <f>IF(OR($D$8=3,$D$8=4,$D$8=5,$D$8=6,$D$8=7,$D$8=8),$C$84,"")</f>
        <v>0</v>
      </c>
      <c r="O41" s="74">
        <f>IF(OR($D$8=4,$D$8=5,$D$8=6,$D$8=7,$D$8=8),$C$110,"")</f>
        <v>0</v>
      </c>
      <c r="P41" s="66"/>
    </row>
    <row r="42" spans="1:17" x14ac:dyDescent="0.35">
      <c r="A42" s="102"/>
      <c r="B42" s="84" t="str">
        <f>IF(C40=TRUE, "Ratio Type", "")</f>
        <v>Ratio Type</v>
      </c>
      <c r="C42" s="14" t="s">
        <v>30</v>
      </c>
      <c r="D42" s="85"/>
      <c r="E42" s="85"/>
      <c r="F42" s="85"/>
      <c r="G42" s="88"/>
      <c r="H42" s="103"/>
      <c r="I42" s="63"/>
      <c r="J42" s="46"/>
      <c r="K42" s="59" t="s">
        <v>6</v>
      </c>
      <c r="L42" s="47">
        <f>IF(OR(D8=1,D8=2,D8=3,D8=4,D8=5,D8=6,D8=7,D8=8),$D$32,"")</f>
        <v>1</v>
      </c>
      <c r="M42" s="47">
        <f>IF(OR($D$8=2,$D$8=3,$D$8=4,$D$8=5,$D$8=6,$D$8=7,$D$8=8),$D$58,"")</f>
        <v>1</v>
      </c>
      <c r="N42" s="47">
        <f>IF(OR(,$D$8=3,$D$8=4,$D$8=5,$D$8=6,$D$8=7,$D$8=8),$D$84,"")</f>
        <v>1</v>
      </c>
      <c r="O42" s="74">
        <f>IF(OR($D$8=4,$D$8=5,$D$8=6,$D$8=7,$D$8=8),$D$110,"")</f>
        <v>0</v>
      </c>
      <c r="P42" s="66"/>
    </row>
    <row r="43" spans="1:17" x14ac:dyDescent="0.35">
      <c r="A43" s="102"/>
      <c r="B43" s="89" t="s">
        <v>91</v>
      </c>
      <c r="C43" s="39">
        <v>2</v>
      </c>
      <c r="D43" s="85"/>
      <c r="E43" s="85"/>
      <c r="F43" s="85"/>
      <c r="G43" s="88"/>
      <c r="H43" s="103"/>
      <c r="I43" s="63"/>
      <c r="J43" s="46"/>
      <c r="K43" s="59" t="s">
        <v>7</v>
      </c>
      <c r="L43" s="47">
        <f>IF(OR(D8=1,D8=2,D8=3,D8=4,D8=5,D8=6,D8=7,D8=8),$E$32,"")</f>
        <v>1</v>
      </c>
      <c r="M43" s="47">
        <f>IF(OR($D$8=2,$D$8=3,$D$8=4,$D$8=5,$D$8=6,$D$8=7,$D$8=8),$E$58,"")</f>
        <v>1</v>
      </c>
      <c r="N43" s="47">
        <f>IF(OR($D$8=3,$D$8=4,$D$8=5,$D$8=6,$D$8=7,$D$8=8),$E$84,"")</f>
        <v>1</v>
      </c>
      <c r="O43" s="74">
        <f>IF(OR($D$8=4,$D$8=5,$D$8=6,$D$8=7,$D$8=8),$E$110,"")</f>
        <v>1</v>
      </c>
      <c r="P43" s="66"/>
    </row>
    <row r="44" spans="1:17" x14ac:dyDescent="0.35">
      <c r="A44" s="102"/>
      <c r="B44" s="233" t="s">
        <v>96</v>
      </c>
      <c r="C44" s="234" t="s">
        <v>103</v>
      </c>
      <c r="D44" s="234"/>
      <c r="E44" s="234"/>
      <c r="F44" s="234"/>
      <c r="G44" s="88"/>
      <c r="H44" s="103"/>
      <c r="I44" s="63"/>
      <c r="J44" s="46"/>
      <c r="K44" s="59" t="s">
        <v>8</v>
      </c>
      <c r="L44" s="47">
        <f>$F$32</f>
        <v>1</v>
      </c>
      <c r="M44" s="47">
        <f>IF(OR($D$8=2,$D$8=3,$D$8=4,$D$8=5,$D$8=6,$D$8=7,$D$8=8),$F$58,"")</f>
        <v>1</v>
      </c>
      <c r="N44" s="47">
        <f>IF(OR($D$8=3,$D$8=4,$D$8=5,$D$8=6,$D$8=7,$D$8=8),$F$84,"")</f>
        <v>1</v>
      </c>
      <c r="O44" s="74">
        <f>IF(OR($D$8=4,$D$8=5,$D$8=6,$D$8=7,$D$8=8),$F$110,"")</f>
        <v>0</v>
      </c>
      <c r="P44" s="66"/>
    </row>
    <row r="45" spans="1:17" x14ac:dyDescent="0.35">
      <c r="A45" s="102"/>
      <c r="B45" s="233"/>
      <c r="C45" s="234"/>
      <c r="D45" s="234"/>
      <c r="E45" s="234"/>
      <c r="F45" s="234"/>
      <c r="G45" s="88"/>
      <c r="H45" s="103"/>
      <c r="I45" s="63"/>
      <c r="J45" s="46"/>
      <c r="K45" s="59" t="s">
        <v>104</v>
      </c>
      <c r="L45" s="47">
        <f>SUM(L41:L44)</f>
        <v>3</v>
      </c>
      <c r="M45" s="47">
        <f>IF(OR($D$8=2,$D$8=3,$D$8=4,$D$8=5,$D$8=6,$D$8=7,$D$8=8),SUM(M41:M44),"")</f>
        <v>3</v>
      </c>
      <c r="N45" s="47">
        <f>IF(OR($D$8=3,$D$8=4,$D$8=5,$D$8=6,$D$8=7,$D$8=8),SUM(N41:N44),"")</f>
        <v>3</v>
      </c>
      <c r="O45" s="74">
        <f>IF(OR($D$8=4,$D$8=5,$D$8=6,$D$8=7,$D$8=8),SUM(O41:O44),"")</f>
        <v>1</v>
      </c>
      <c r="P45" s="66"/>
    </row>
    <row r="46" spans="1:17" ht="13.5" thickBot="1" x14ac:dyDescent="0.4">
      <c r="A46" s="102"/>
      <c r="B46" s="90"/>
      <c r="C46" s="85"/>
      <c r="D46" s="85"/>
      <c r="E46" s="85"/>
      <c r="F46" s="85"/>
      <c r="G46" s="88"/>
      <c r="H46" s="103"/>
      <c r="I46" s="63"/>
      <c r="J46" s="46"/>
      <c r="K46" s="82"/>
      <c r="L46" s="68"/>
      <c r="M46" s="68"/>
      <c r="N46" s="68" t="s">
        <v>108</v>
      </c>
      <c r="O46" s="83">
        <f>SUM(L45:O45)</f>
        <v>10</v>
      </c>
      <c r="P46" s="66"/>
    </row>
    <row r="47" spans="1:17" ht="13.5" thickBot="1" x14ac:dyDescent="0.4">
      <c r="A47" s="102"/>
      <c r="B47" s="91"/>
      <c r="C47" s="92"/>
      <c r="D47" s="92"/>
      <c r="E47" s="92"/>
      <c r="F47" s="92"/>
      <c r="G47" s="93"/>
      <c r="H47" s="103"/>
      <c r="I47" s="63"/>
      <c r="J47" s="46"/>
      <c r="K47" s="46"/>
      <c r="L47" s="46"/>
      <c r="M47" s="46"/>
      <c r="N47" s="51"/>
      <c r="O47" s="46"/>
      <c r="P47" s="66"/>
    </row>
    <row r="48" spans="1:17" ht="13.5" thickBot="1" x14ac:dyDescent="0.4">
      <c r="A48" s="102"/>
      <c r="B48" s="102"/>
      <c r="C48" s="103"/>
      <c r="D48" s="103"/>
      <c r="E48" s="103"/>
      <c r="F48" s="103"/>
      <c r="G48" s="102"/>
      <c r="H48" s="103"/>
      <c r="I48" s="63"/>
      <c r="J48" s="63"/>
      <c r="K48" s="64"/>
      <c r="L48" s="63"/>
      <c r="M48" s="63"/>
      <c r="N48" s="63"/>
      <c r="O48" s="63"/>
      <c r="P48" s="63"/>
      <c r="Q48" s="63"/>
    </row>
    <row r="49" spans="1:25" x14ac:dyDescent="0.35">
      <c r="A49" s="102"/>
      <c r="B49" s="235" t="s">
        <v>0</v>
      </c>
      <c r="C49" s="214" t="s">
        <v>183</v>
      </c>
      <c r="D49" s="214"/>
      <c r="E49" s="214"/>
      <c r="F49" s="214"/>
      <c r="G49" s="237">
        <v>2</v>
      </c>
      <c r="H49" s="103"/>
      <c r="I49" s="63"/>
      <c r="J49" s="63"/>
      <c r="K49" s="64"/>
      <c r="L49" s="63"/>
      <c r="M49" s="63"/>
      <c r="N49" s="63"/>
      <c r="O49" s="63"/>
      <c r="P49" s="63"/>
      <c r="Q49" s="63"/>
    </row>
    <row r="50" spans="1:25" x14ac:dyDescent="0.35">
      <c r="A50" s="102"/>
      <c r="B50" s="236"/>
      <c r="C50" s="215"/>
      <c r="D50" s="215"/>
      <c r="E50" s="215"/>
      <c r="F50" s="215"/>
      <c r="G50" s="238"/>
      <c r="H50" s="103"/>
      <c r="I50" s="63"/>
      <c r="J50" s="63"/>
      <c r="K50" s="64"/>
      <c r="L50" s="63"/>
      <c r="M50" s="63"/>
      <c r="N50" s="63"/>
      <c r="O50" s="63"/>
      <c r="P50" s="63"/>
      <c r="Q50" s="63"/>
    </row>
    <row r="51" spans="1:25" x14ac:dyDescent="0.35">
      <c r="A51" s="102"/>
      <c r="B51" s="84" t="s">
        <v>82</v>
      </c>
      <c r="C51" s="24" t="s">
        <v>181</v>
      </c>
      <c r="D51" s="85"/>
      <c r="E51" s="85"/>
      <c r="F51" s="85"/>
      <c r="G51" s="86"/>
      <c r="H51" s="103"/>
      <c r="I51" s="63"/>
      <c r="J51" s="63"/>
      <c r="K51" s="64"/>
      <c r="L51" s="63"/>
      <c r="M51" s="63"/>
      <c r="N51" s="63"/>
      <c r="O51" s="63"/>
      <c r="P51" s="63"/>
      <c r="Q51" s="63"/>
      <c r="R51" s="63"/>
    </row>
    <row r="52" spans="1:25" x14ac:dyDescent="0.35">
      <c r="A52" s="102"/>
      <c r="B52" s="84" t="s">
        <v>9</v>
      </c>
      <c r="C52" s="16" t="s">
        <v>16</v>
      </c>
      <c r="D52" s="85"/>
      <c r="E52" s="85" t="str">
        <f>IF(OR(C52="WTI", C52="LDC"),"CT Accuracy", "")</f>
        <v/>
      </c>
      <c r="F52" s="14" t="s">
        <v>76</v>
      </c>
      <c r="G52" s="86"/>
      <c r="H52" s="103"/>
      <c r="I52" s="63"/>
      <c r="J52" s="63"/>
      <c r="K52" s="64"/>
      <c r="L52" s="63"/>
      <c r="M52" s="63"/>
      <c r="N52" s="63"/>
      <c r="O52" s="63"/>
      <c r="P52" s="63"/>
      <c r="Q52" s="63"/>
      <c r="R52" s="63"/>
    </row>
    <row r="53" spans="1:25" x14ac:dyDescent="0.35">
      <c r="A53" s="102"/>
      <c r="B53" s="84" t="s">
        <v>10</v>
      </c>
      <c r="C53" s="16" t="s">
        <v>18</v>
      </c>
      <c r="D53" s="85"/>
      <c r="E53" s="85"/>
      <c r="F53" s="85"/>
      <c r="G53" s="86"/>
      <c r="H53" s="103"/>
      <c r="I53" s="63"/>
      <c r="J53" s="63"/>
      <c r="K53" s="64"/>
      <c r="L53" s="63"/>
      <c r="M53" s="63"/>
      <c r="N53" s="63"/>
      <c r="O53" s="63"/>
      <c r="P53" s="63"/>
      <c r="Q53" s="63"/>
      <c r="R53" s="63"/>
      <c r="S53" s="65"/>
      <c r="T53" s="65"/>
      <c r="U53" s="65"/>
      <c r="V53" s="65"/>
      <c r="W53" s="65"/>
      <c r="X53" s="63"/>
      <c r="Y53" s="63"/>
    </row>
    <row r="54" spans="1:25" x14ac:dyDescent="0.35">
      <c r="A54" s="102"/>
      <c r="B54" s="84" t="s">
        <v>90</v>
      </c>
      <c r="C54" s="17">
        <v>4</v>
      </c>
      <c r="D54" s="85"/>
      <c r="E54" s="85"/>
      <c r="F54" s="85"/>
      <c r="G54" s="86"/>
      <c r="H54" s="103"/>
      <c r="I54" s="63"/>
      <c r="J54" s="63"/>
      <c r="K54" s="64"/>
      <c r="L54" s="63"/>
      <c r="M54" s="63"/>
      <c r="N54" s="63"/>
      <c r="O54" s="63"/>
      <c r="P54" s="63"/>
      <c r="Q54" s="63"/>
      <c r="R54" s="63"/>
      <c r="S54" s="65"/>
      <c r="T54" s="65"/>
      <c r="U54" s="65"/>
      <c r="V54" s="65"/>
      <c r="W54" s="65"/>
      <c r="X54" s="63"/>
      <c r="Y54" s="63"/>
    </row>
    <row r="55" spans="1:25" x14ac:dyDescent="0.35">
      <c r="A55" s="102"/>
      <c r="B55" s="84" t="s">
        <v>2</v>
      </c>
      <c r="C55" s="14" t="s">
        <v>26</v>
      </c>
      <c r="D55" s="85"/>
      <c r="E55" s="85"/>
      <c r="F55" s="85"/>
      <c r="G55" s="86"/>
      <c r="H55" s="103"/>
      <c r="I55" s="63"/>
      <c r="J55" s="63"/>
      <c r="K55" s="64"/>
      <c r="L55" s="63"/>
      <c r="M55" s="63"/>
      <c r="N55" s="63"/>
      <c r="O55" s="63"/>
      <c r="P55" s="63"/>
      <c r="Q55" s="63"/>
      <c r="R55" s="63"/>
      <c r="S55" s="65"/>
      <c r="T55" s="65"/>
      <c r="U55" s="65"/>
      <c r="V55" s="65"/>
      <c r="W55" s="63"/>
      <c r="X55" s="63"/>
      <c r="Y55" s="63"/>
    </row>
    <row r="56" spans="1:25" ht="13.5" thickBot="1" x14ac:dyDescent="0.4">
      <c r="A56" s="102"/>
      <c r="B56" s="84" t="s">
        <v>3</v>
      </c>
      <c r="C56" s="31" t="s">
        <v>14</v>
      </c>
      <c r="D56" s="85"/>
      <c r="E56" s="85"/>
      <c r="F56" s="85"/>
      <c r="G56" s="86"/>
      <c r="H56" s="103"/>
      <c r="I56" s="63"/>
      <c r="J56" s="63"/>
      <c r="K56" s="64"/>
      <c r="L56" s="63"/>
      <c r="M56" s="63"/>
      <c r="N56" s="63"/>
      <c r="O56" s="63"/>
      <c r="P56" s="63"/>
      <c r="Q56" s="63"/>
      <c r="R56" s="63"/>
      <c r="S56" s="65"/>
      <c r="T56" s="65"/>
      <c r="U56" s="65"/>
      <c r="V56" s="65"/>
      <c r="W56" s="63"/>
      <c r="X56" s="63"/>
      <c r="Y56" s="63"/>
    </row>
    <row r="57" spans="1:25" x14ac:dyDescent="0.35">
      <c r="A57" s="102"/>
      <c r="B57" s="87" t="s">
        <v>85</v>
      </c>
      <c r="C57" s="32" t="s">
        <v>35</v>
      </c>
      <c r="D57" s="33" t="s">
        <v>6</v>
      </c>
      <c r="E57" s="33" t="s">
        <v>7</v>
      </c>
      <c r="F57" s="34" t="s">
        <v>8</v>
      </c>
      <c r="G57" s="86"/>
      <c r="H57" s="103"/>
      <c r="I57" s="63"/>
      <c r="J57" s="63"/>
      <c r="K57" s="64"/>
      <c r="L57" s="63"/>
      <c r="M57" s="63"/>
      <c r="N57" s="63"/>
      <c r="O57" s="63"/>
      <c r="P57" s="63"/>
      <c r="Q57" s="63"/>
      <c r="R57" s="63"/>
      <c r="S57" s="65"/>
      <c r="T57" s="65"/>
      <c r="U57" s="65"/>
      <c r="V57" s="65"/>
      <c r="W57" s="63"/>
      <c r="X57" s="63"/>
      <c r="Y57" s="63"/>
    </row>
    <row r="58" spans="1:25" x14ac:dyDescent="0.35">
      <c r="A58" s="102"/>
      <c r="B58" s="87" t="s">
        <v>84</v>
      </c>
      <c r="C58" s="35">
        <v>0</v>
      </c>
      <c r="D58" s="14">
        <v>1</v>
      </c>
      <c r="E58" s="14">
        <v>1</v>
      </c>
      <c r="F58" s="36">
        <v>1</v>
      </c>
      <c r="G58" s="86"/>
      <c r="H58" s="103"/>
      <c r="I58" s="63"/>
      <c r="J58" s="63"/>
      <c r="K58" s="64"/>
      <c r="L58" s="63"/>
      <c r="M58" s="63"/>
      <c r="N58" s="63"/>
      <c r="O58" s="63"/>
      <c r="P58" s="63"/>
      <c r="Q58" s="63"/>
      <c r="R58" s="63"/>
      <c r="S58" s="65"/>
      <c r="T58" s="65"/>
      <c r="U58" s="65"/>
      <c r="V58" s="65"/>
      <c r="W58" s="63"/>
      <c r="X58" s="63"/>
      <c r="Y58" s="63"/>
    </row>
    <row r="59" spans="1:25" x14ac:dyDescent="0.35">
      <c r="A59" s="102"/>
      <c r="B59" s="232" t="s">
        <v>86</v>
      </c>
      <c r="C59" s="175" t="str">
        <f>IF(
  ROWS($C$59:C59)&lt;= $C$58,
  $C$51 &amp; "-" &amp; C$57 &amp; ROWS($C$59:C59),
  ""
)</f>
        <v/>
      </c>
      <c r="D59" s="176" t="str">
        <f>IF(
  ROWS($D$59:D59)&lt;= $D$58,
  $C$51 &amp; "-" &amp; D$57 &amp; ROWS($D$59:D59),
  ""
)</f>
        <v>CT1O-H11</v>
      </c>
      <c r="E59" s="176" t="str">
        <f>IF(
  ROWS($E$59:E59)&lt;= $E$58,
  $C$51 &amp; "-" &amp; E$57 &amp; ROWS($E$59:E59),
  ""
)</f>
        <v>CT1O-H21</v>
      </c>
      <c r="F59" s="177" t="str">
        <f>IF(
  ROWS($F$59:F59)&lt;= $F$58,
  $C$51 &amp; "-" &amp; F$57 &amp; ROWS($F$59:F59),
  ""
)</f>
        <v>CT1O-H31</v>
      </c>
      <c r="G59" s="86"/>
      <c r="H59" s="103"/>
      <c r="I59" s="63"/>
      <c r="J59" s="63"/>
      <c r="K59" s="64"/>
      <c r="L59" s="63"/>
      <c r="M59" s="63"/>
      <c r="N59" s="63"/>
      <c r="O59" s="63"/>
      <c r="P59" s="63"/>
      <c r="Q59" s="63"/>
      <c r="R59" s="63"/>
      <c r="S59" s="65"/>
      <c r="T59" s="65"/>
      <c r="U59" s="65"/>
      <c r="V59" s="65"/>
      <c r="W59" s="63"/>
      <c r="X59" s="63"/>
      <c r="Y59" s="63"/>
    </row>
    <row r="60" spans="1:25" x14ac:dyDescent="0.35">
      <c r="A60" s="102"/>
      <c r="B60" s="232"/>
      <c r="C60" s="175" t="str">
        <f>IF(
  ROWS($C$59:C60)&lt;= $C$58,
  $C$51 &amp; "-" &amp; C$57 &amp; ROWS($C$59:C60),
  ""
)</f>
        <v/>
      </c>
      <c r="D60" s="176" t="str">
        <f>IF(
  ROWS($D$59:D60)&lt;= $D$58,
  $C$51 &amp; "-" &amp; D$57 &amp; ROWS($D$59:D60),
  ""
)</f>
        <v/>
      </c>
      <c r="E60" s="176" t="str">
        <f>IF(
  ROWS($E$59:E60)&lt;= $E$58,
  $C$51 &amp; "-" &amp; E$57 &amp; ROWS($E$59:E60),
  ""
)</f>
        <v/>
      </c>
      <c r="F60" s="177" t="str">
        <f>IF(
  ROWS($F$59:F60)&lt;= $F$58,
  $C$25 &amp; "-" &amp; F$57 &amp; ROWS($F$59:F60),
  ""
)</f>
        <v/>
      </c>
      <c r="G60" s="86"/>
      <c r="H60" s="103"/>
      <c r="I60" s="63"/>
      <c r="J60" s="63"/>
      <c r="K60" s="64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</row>
    <row r="61" spans="1:25" x14ac:dyDescent="0.35">
      <c r="A61" s="102"/>
      <c r="B61" s="232"/>
      <c r="C61" s="175" t="str">
        <f>IF(
  ROWS($C$59:C61)&lt;= $C$58,
  $C$51 &amp; "-" &amp; C$57 &amp; ROWS($C$59:C61),
  ""
)</f>
        <v/>
      </c>
      <c r="D61" s="176" t="str">
        <f>IF(
  ROWS($D$59:D61)&lt;= $D$58,
  $C$51 &amp; "-" &amp; D$57 &amp; ROWS($D$59:D61),
  ""
)</f>
        <v/>
      </c>
      <c r="E61" s="176" t="str">
        <f>IF(
  ROWS($E$59:E61)&lt;= $E$58,
  $C$51 &amp; "-" &amp; E$57 &amp; ROWS($E$59:E61),
  ""
)</f>
        <v/>
      </c>
      <c r="F61" s="177" t="str">
        <f>IF(
  ROWS($F$59:F61)&lt;= $F$58,
  $C$25 &amp; "-" &amp; F$57 &amp; ROWS($F$59:F61),
  ""
)</f>
        <v/>
      </c>
      <c r="G61" s="86"/>
      <c r="H61" s="103"/>
      <c r="I61" s="63"/>
      <c r="J61" s="63"/>
      <c r="K61" s="64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</row>
    <row r="62" spans="1:25" x14ac:dyDescent="0.35">
      <c r="A62" s="102"/>
      <c r="B62" s="232"/>
      <c r="C62" s="175" t="str">
        <f>IF(
  ROWS($C$59:C62)&lt;= $C$58,
  $C$51 &amp; "-" &amp; C$57 &amp; ROWS($C$59:C62),
  ""
)</f>
        <v/>
      </c>
      <c r="D62" s="176" t="str">
        <f>IF(
  ROWS($D$59:D62)&lt;= $D$58,
  $C$51 &amp; "-" &amp; D$57 &amp; ROWS($D$59:D62),
  ""
)</f>
        <v/>
      </c>
      <c r="E62" s="176" t="str">
        <f>IF(
  ROWS($E$59:E62)&lt;= $E$58,
  $C$51 &amp; "-" &amp; E$57 &amp; ROWS($E$59:E62),
  ""
)</f>
        <v/>
      </c>
      <c r="F62" s="177" t="str">
        <f>IF(
  ROWS($F$59:F62)&lt;= $F$58,
  $C$25 &amp; "-" &amp; F$57 &amp; ROWS($F$59:F62),
  ""
)</f>
        <v/>
      </c>
      <c r="G62" s="86"/>
      <c r="H62" s="103"/>
      <c r="I62" s="63"/>
      <c r="J62" s="63"/>
      <c r="K62" s="64"/>
      <c r="L62" s="63"/>
      <c r="M62" s="63"/>
      <c r="N62" s="63"/>
      <c r="O62" s="63"/>
      <c r="P62" s="63"/>
      <c r="Q62" s="63"/>
      <c r="R62" s="63"/>
      <c r="S62" s="65"/>
      <c r="T62" s="65"/>
      <c r="U62" s="65"/>
      <c r="V62" s="65"/>
      <c r="W62" s="65"/>
      <c r="X62" s="63"/>
      <c r="Y62" s="63"/>
    </row>
    <row r="63" spans="1:25" x14ac:dyDescent="0.35">
      <c r="A63" s="102"/>
      <c r="B63" s="232"/>
      <c r="C63" s="175" t="str">
        <f>IF(
  ROWS($C$59:C63)&lt;= $C$58,
  $C$51 &amp; "-" &amp; C$57 &amp; ROWS($C$59:C63),
  ""
)</f>
        <v/>
      </c>
      <c r="D63" s="176" t="str">
        <f>IF(
  ROWS($D$59:D63)&lt;= $D$58,
  $C$51 &amp; "-" &amp; D$57 &amp; ROWS($D$59:D63),
  ""
)</f>
        <v/>
      </c>
      <c r="E63" s="176" t="str">
        <f>IF(
  ROWS($E$59:E63)&lt;= $E$58,
  $C$51 &amp; "-" &amp; E$57 &amp; ROWS($E$59:E63),
  ""
)</f>
        <v/>
      </c>
      <c r="F63" s="177" t="str">
        <f>IF(
  ROWS($F$59:F63)&lt;= $F$58,
  $C$25 &amp; "-" &amp; F$57 &amp; ROWS($F$59:F63),
  ""
)</f>
        <v/>
      </c>
      <c r="G63" s="86"/>
      <c r="H63" s="103"/>
      <c r="I63" s="63"/>
      <c r="J63" s="63"/>
      <c r="K63" s="64"/>
      <c r="L63" s="63"/>
      <c r="M63" s="63"/>
      <c r="N63" s="63"/>
      <c r="O63" s="63"/>
      <c r="P63" s="63"/>
      <c r="Q63" s="63"/>
      <c r="R63" s="63"/>
      <c r="S63" s="65"/>
      <c r="T63" s="65"/>
      <c r="U63" s="65"/>
      <c r="V63" s="65"/>
      <c r="W63" s="65"/>
      <c r="X63" s="63"/>
      <c r="Y63" s="63"/>
    </row>
    <row r="64" spans="1:25" ht="13.5" thickBot="1" x14ac:dyDescent="0.4">
      <c r="A64" s="102"/>
      <c r="B64" s="232"/>
      <c r="C64" s="178" t="str">
        <f>IF(
  ROWS($C$59:C64)&lt;= $C$58,
  $C$51 &amp; "-" &amp; C$57 &amp; ROWS($C$59:C64),
  ""
)</f>
        <v/>
      </c>
      <c r="D64" s="179" t="str">
        <f>IF(
  ROWS($D$59:D64)&lt;= $D$58,
  $C$51 &amp; "-" &amp; D$57 &amp; ROWS($D$59:D64),
  ""
)</f>
        <v/>
      </c>
      <c r="E64" s="179" t="str">
        <f>IF(
  ROWS($E$59:E64)&lt;= $E$58,
  $C$51 &amp; "-" &amp; E$57 &amp; ROWS($E$59:E64),
  ""
)</f>
        <v/>
      </c>
      <c r="F64" s="180" t="str">
        <f>IF(
  ROWS($F$59:F64)&lt;= $F$58,
  $C$25 &amp; "-" &amp; F$57 &amp; ROWS($F$59:F64),
  ""
)</f>
        <v/>
      </c>
      <c r="G64" s="86"/>
      <c r="H64" s="103"/>
      <c r="I64" s="63"/>
      <c r="J64" s="63"/>
      <c r="K64" s="64"/>
      <c r="L64" s="63"/>
      <c r="M64" s="63"/>
      <c r="N64" s="63"/>
      <c r="O64" s="63"/>
      <c r="P64" s="63"/>
      <c r="Q64" s="63"/>
      <c r="R64" s="63"/>
      <c r="S64" s="65"/>
      <c r="T64" s="65"/>
      <c r="U64" s="65"/>
      <c r="V64" s="65"/>
      <c r="W64" s="65"/>
      <c r="X64" s="63"/>
      <c r="Y64" s="63"/>
    </row>
    <row r="65" spans="1:25" x14ac:dyDescent="0.35">
      <c r="A65" s="102"/>
      <c r="B65" s="84" t="s">
        <v>119</v>
      </c>
      <c r="C65" s="23">
        <v>4</v>
      </c>
      <c r="D65" s="85"/>
      <c r="E65" s="85"/>
      <c r="F65" s="85"/>
      <c r="G65" s="86"/>
      <c r="H65" s="103"/>
      <c r="I65" s="63"/>
      <c r="J65" s="63"/>
      <c r="K65" s="64"/>
      <c r="L65" s="63"/>
      <c r="M65" s="63"/>
      <c r="N65" s="63"/>
      <c r="O65" s="63"/>
      <c r="P65" s="63"/>
      <c r="Q65" s="63"/>
      <c r="R65" s="63"/>
      <c r="S65" s="65"/>
      <c r="T65" s="65"/>
      <c r="U65" s="65"/>
      <c r="V65" s="65"/>
      <c r="W65" s="65"/>
      <c r="X65" s="63"/>
      <c r="Y65" s="63"/>
    </row>
    <row r="66" spans="1:25" x14ac:dyDescent="0.35">
      <c r="A66" s="102"/>
      <c r="B66" s="84" t="s">
        <v>120</v>
      </c>
      <c r="C66" s="19" t="b">
        <f>IF(OR(C52="WTI", C52="LDC"),FALSE,TRUE)</f>
        <v>1</v>
      </c>
      <c r="D66" s="21" t="s">
        <v>105</v>
      </c>
      <c r="E66" s="85"/>
      <c r="F66" s="85"/>
      <c r="G66" s="86"/>
      <c r="H66" s="103"/>
      <c r="I66" s="63"/>
      <c r="J66" s="63"/>
      <c r="K66" s="64"/>
      <c r="L66" s="63"/>
      <c r="M66" s="63"/>
      <c r="N66" s="63"/>
      <c r="O66" s="63"/>
      <c r="P66" s="63"/>
      <c r="Q66" s="63"/>
      <c r="R66" s="63"/>
      <c r="S66" s="65"/>
      <c r="T66" s="65"/>
      <c r="U66" s="65"/>
      <c r="V66" s="65"/>
      <c r="W66" s="65"/>
      <c r="X66" s="63"/>
      <c r="Y66" s="63"/>
    </row>
    <row r="67" spans="1:25" x14ac:dyDescent="0.35">
      <c r="A67" s="102"/>
      <c r="B67" s="84" t="s">
        <v>121</v>
      </c>
      <c r="C67" s="19" t="b">
        <f>IF(OR(C52="WTI", C52="LDC"),FALSE,TRUE)</f>
        <v>1</v>
      </c>
      <c r="D67" s="21" t="s">
        <v>106</v>
      </c>
      <c r="E67" s="85"/>
      <c r="F67" s="85"/>
      <c r="G67" s="86"/>
      <c r="H67" s="103"/>
      <c r="I67" s="63"/>
      <c r="J67" s="63"/>
      <c r="K67" s="64"/>
      <c r="L67" s="63"/>
      <c r="M67" s="63"/>
      <c r="N67" s="63"/>
      <c r="O67" s="63"/>
      <c r="P67" s="63"/>
      <c r="Q67" s="63"/>
      <c r="R67" s="63"/>
      <c r="S67" s="65"/>
      <c r="T67" s="65"/>
      <c r="U67" s="65"/>
      <c r="V67" s="65"/>
      <c r="W67" s="65"/>
      <c r="X67" s="63"/>
      <c r="Y67" s="63"/>
    </row>
    <row r="68" spans="1:25" x14ac:dyDescent="0.35">
      <c r="A68" s="102"/>
      <c r="B68" s="84" t="str">
        <f>IF(C66=TRUE, "Ratio Type", "")</f>
        <v>Ratio Type</v>
      </c>
      <c r="C68" s="14" t="s">
        <v>30</v>
      </c>
      <c r="D68" s="85"/>
      <c r="E68" s="85"/>
      <c r="F68" s="85"/>
      <c r="G68" s="86"/>
      <c r="H68" s="103"/>
      <c r="I68" s="63"/>
      <c r="J68" s="63"/>
      <c r="K68" s="64"/>
      <c r="L68" s="63"/>
      <c r="M68" s="63"/>
      <c r="N68" s="63"/>
      <c r="O68" s="63"/>
      <c r="P68" s="63"/>
      <c r="Q68" s="63"/>
      <c r="R68" s="63"/>
      <c r="S68" s="65"/>
      <c r="T68" s="65"/>
      <c r="U68" s="65"/>
      <c r="V68" s="65"/>
      <c r="W68" s="65"/>
      <c r="X68" s="63"/>
      <c r="Y68" s="63"/>
    </row>
    <row r="69" spans="1:25" x14ac:dyDescent="0.35">
      <c r="A69" s="102"/>
      <c r="B69" s="89" t="s">
        <v>91</v>
      </c>
      <c r="C69" s="20">
        <v>2</v>
      </c>
      <c r="D69" s="85"/>
      <c r="E69" s="85"/>
      <c r="F69" s="85"/>
      <c r="G69" s="86"/>
      <c r="H69" s="103"/>
      <c r="I69" s="63"/>
      <c r="J69" s="63"/>
      <c r="K69" s="64"/>
      <c r="L69" s="63"/>
      <c r="M69" s="63"/>
      <c r="N69" s="63"/>
      <c r="O69" s="63"/>
      <c r="P69" s="63"/>
      <c r="Q69" s="63"/>
      <c r="R69" s="63"/>
      <c r="S69" s="65"/>
      <c r="T69" s="65"/>
      <c r="U69" s="65"/>
      <c r="V69" s="65"/>
      <c r="W69" s="65"/>
      <c r="X69" s="63"/>
      <c r="Y69" s="63"/>
    </row>
    <row r="70" spans="1:25" x14ac:dyDescent="0.35">
      <c r="A70" s="102"/>
      <c r="B70" s="233" t="s">
        <v>96</v>
      </c>
      <c r="C70" s="234" t="s">
        <v>103</v>
      </c>
      <c r="D70" s="234"/>
      <c r="E70" s="234"/>
      <c r="F70" s="234"/>
      <c r="G70" s="86"/>
      <c r="H70" s="103"/>
      <c r="I70" s="63"/>
      <c r="J70" s="63"/>
      <c r="K70" s="64"/>
      <c r="L70" s="63"/>
      <c r="M70" s="63"/>
      <c r="N70" s="63"/>
      <c r="O70" s="63"/>
      <c r="P70" s="63"/>
      <c r="Q70" s="63"/>
      <c r="R70" s="63"/>
      <c r="S70" s="65"/>
      <c r="T70" s="65"/>
      <c r="U70" s="65"/>
      <c r="V70" s="65"/>
      <c r="W70" s="65"/>
      <c r="X70" s="63"/>
      <c r="Y70" s="63"/>
    </row>
    <row r="71" spans="1:25" x14ac:dyDescent="0.35">
      <c r="A71" s="102"/>
      <c r="B71" s="233"/>
      <c r="C71" s="234"/>
      <c r="D71" s="234"/>
      <c r="E71" s="234"/>
      <c r="F71" s="234"/>
      <c r="G71" s="86"/>
      <c r="H71" s="103"/>
      <c r="I71" s="63"/>
      <c r="J71" s="63"/>
      <c r="K71" s="64"/>
      <c r="L71" s="63"/>
      <c r="M71" s="63"/>
      <c r="N71" s="63"/>
      <c r="O71" s="63"/>
      <c r="P71" s="63"/>
      <c r="Q71" s="63"/>
      <c r="R71" s="63"/>
      <c r="S71" s="65"/>
      <c r="T71" s="65"/>
      <c r="U71" s="65"/>
      <c r="V71" s="65"/>
      <c r="W71" s="65"/>
      <c r="X71" s="63"/>
      <c r="Y71" s="63"/>
    </row>
    <row r="72" spans="1:25" x14ac:dyDescent="0.35">
      <c r="A72" s="102"/>
      <c r="B72" s="90"/>
      <c r="C72" s="85"/>
      <c r="D72" s="85"/>
      <c r="E72" s="85"/>
      <c r="F72" s="85"/>
      <c r="G72" s="86"/>
      <c r="H72" s="103"/>
      <c r="I72" s="63"/>
      <c r="J72" s="63"/>
      <c r="K72" s="64"/>
      <c r="L72" s="63"/>
      <c r="M72" s="63"/>
      <c r="N72" s="63"/>
      <c r="O72" s="63"/>
      <c r="P72" s="63"/>
      <c r="Q72" s="63"/>
      <c r="R72" s="63"/>
      <c r="S72" s="65"/>
      <c r="T72" s="65"/>
      <c r="U72" s="65"/>
      <c r="V72" s="65"/>
      <c r="W72" s="65"/>
      <c r="X72" s="63"/>
      <c r="Y72" s="63"/>
    </row>
    <row r="73" spans="1:25" ht="13.5" thickBot="1" x14ac:dyDescent="0.4">
      <c r="A73" s="102"/>
      <c r="B73" s="91"/>
      <c r="C73" s="92"/>
      <c r="D73" s="92"/>
      <c r="E73" s="92"/>
      <c r="F73" s="92"/>
      <c r="G73" s="98"/>
      <c r="H73" s="103"/>
      <c r="I73" s="63"/>
      <c r="J73" s="63"/>
      <c r="K73" s="64"/>
      <c r="L73" s="63"/>
      <c r="M73" s="63"/>
      <c r="N73" s="63"/>
      <c r="O73" s="63"/>
      <c r="P73" s="63"/>
      <c r="Q73" s="63"/>
      <c r="R73" s="63"/>
      <c r="S73" s="65"/>
      <c r="T73" s="65"/>
      <c r="U73" s="65"/>
      <c r="V73" s="65"/>
      <c r="W73" s="65"/>
      <c r="X73" s="63"/>
      <c r="Y73" s="63"/>
    </row>
    <row r="74" spans="1:25" ht="13.5" thickBot="1" x14ac:dyDescent="0.4">
      <c r="A74" s="102"/>
      <c r="B74" s="102"/>
      <c r="C74" s="103"/>
      <c r="D74" s="103"/>
      <c r="E74" s="103"/>
      <c r="F74" s="103"/>
      <c r="G74" s="102"/>
      <c r="H74" s="103"/>
      <c r="I74" s="63"/>
      <c r="J74" s="63"/>
      <c r="K74" s="64"/>
      <c r="L74" s="63"/>
      <c r="M74" s="63"/>
      <c r="N74" s="63"/>
      <c r="O74" s="63"/>
      <c r="P74" s="63"/>
      <c r="Q74" s="63"/>
      <c r="R74" s="63"/>
      <c r="S74" s="65"/>
      <c r="T74" s="65"/>
      <c r="U74" s="65"/>
      <c r="V74" s="65"/>
      <c r="W74" s="65"/>
      <c r="X74" s="63"/>
      <c r="Y74" s="63"/>
    </row>
    <row r="75" spans="1:25" x14ac:dyDescent="0.35">
      <c r="A75" s="102"/>
      <c r="B75" s="235" t="s">
        <v>0</v>
      </c>
      <c r="C75" s="214" t="s">
        <v>184</v>
      </c>
      <c r="D75" s="214"/>
      <c r="E75" s="214"/>
      <c r="F75" s="214"/>
      <c r="G75" s="237">
        <v>3</v>
      </c>
      <c r="H75" s="103"/>
      <c r="I75" s="63"/>
      <c r="J75" s="63"/>
      <c r="K75" s="64"/>
      <c r="L75" s="63"/>
      <c r="M75" s="63"/>
      <c r="N75" s="63"/>
      <c r="O75" s="63"/>
      <c r="P75" s="63"/>
      <c r="Q75" s="63"/>
      <c r="R75" s="63"/>
      <c r="S75" s="65"/>
      <c r="T75" s="65"/>
      <c r="U75" s="65"/>
      <c r="V75" s="65"/>
      <c r="W75" s="65"/>
      <c r="X75" s="63"/>
      <c r="Y75" s="63"/>
    </row>
    <row r="76" spans="1:25" x14ac:dyDescent="0.35">
      <c r="A76" s="102"/>
      <c r="B76" s="236"/>
      <c r="C76" s="215"/>
      <c r="D76" s="215"/>
      <c r="E76" s="215"/>
      <c r="F76" s="215"/>
      <c r="G76" s="238"/>
      <c r="H76" s="103"/>
      <c r="I76" s="63"/>
      <c r="J76" s="63"/>
      <c r="K76" s="64"/>
      <c r="L76" s="63"/>
      <c r="M76" s="63"/>
      <c r="N76" s="63"/>
      <c r="O76" s="63"/>
      <c r="P76" s="63"/>
      <c r="Q76" s="63"/>
      <c r="R76" s="63"/>
      <c r="S76" s="65"/>
      <c r="T76" s="65"/>
      <c r="U76" s="65"/>
      <c r="V76" s="65"/>
      <c r="W76" s="65"/>
      <c r="X76" s="63"/>
      <c r="Y76" s="63"/>
    </row>
    <row r="77" spans="1:25" x14ac:dyDescent="0.35">
      <c r="A77" s="102"/>
      <c r="B77" s="84" t="s">
        <v>82</v>
      </c>
      <c r="C77" s="24" t="s">
        <v>100</v>
      </c>
      <c r="D77" s="85"/>
      <c r="E77" s="85"/>
      <c r="F77" s="85"/>
      <c r="G77" s="86"/>
      <c r="H77" s="103"/>
      <c r="I77" s="63"/>
      <c r="J77" s="63"/>
      <c r="K77" s="64"/>
      <c r="L77" s="63"/>
      <c r="M77" s="63"/>
      <c r="N77" s="63"/>
      <c r="O77" s="63"/>
      <c r="P77" s="63"/>
      <c r="Q77" s="63"/>
      <c r="R77" s="63"/>
      <c r="S77" s="65"/>
      <c r="T77" s="65"/>
      <c r="U77" s="65"/>
      <c r="V77" s="65"/>
      <c r="W77" s="65"/>
      <c r="X77" s="63"/>
      <c r="Y77" s="63"/>
    </row>
    <row r="78" spans="1:25" x14ac:dyDescent="0.35">
      <c r="A78" s="102"/>
      <c r="B78" s="84" t="s">
        <v>9</v>
      </c>
      <c r="C78" s="16" t="s">
        <v>16</v>
      </c>
      <c r="D78" s="85"/>
      <c r="E78" s="85" t="str">
        <f>IF(OR(C78="WTI", C78="LDC"),"CT Accuracy", "")</f>
        <v/>
      </c>
      <c r="F78" s="14"/>
      <c r="G78" s="86"/>
      <c r="H78" s="103"/>
      <c r="I78" s="63"/>
      <c r="J78" s="63"/>
      <c r="K78" s="64"/>
      <c r="L78" s="63"/>
      <c r="M78" s="63"/>
      <c r="N78" s="63"/>
      <c r="O78" s="63"/>
      <c r="P78" s="63"/>
      <c r="Q78" s="63"/>
      <c r="R78" s="63"/>
      <c r="S78" s="65"/>
      <c r="T78" s="65"/>
      <c r="U78" s="65"/>
      <c r="V78" s="65"/>
      <c r="W78" s="65"/>
      <c r="X78" s="63"/>
      <c r="Y78" s="63"/>
    </row>
    <row r="79" spans="1:25" x14ac:dyDescent="0.35">
      <c r="A79" s="102"/>
      <c r="B79" s="84" t="s">
        <v>10</v>
      </c>
      <c r="C79" s="16" t="s">
        <v>18</v>
      </c>
      <c r="D79" s="85"/>
      <c r="E79" s="85"/>
      <c r="F79" s="85"/>
      <c r="G79" s="86"/>
      <c r="H79" s="103"/>
      <c r="I79" s="63"/>
      <c r="J79" s="63"/>
      <c r="K79" s="64"/>
      <c r="L79" s="63"/>
      <c r="M79" s="63"/>
      <c r="N79" s="63"/>
      <c r="O79" s="63"/>
      <c r="P79" s="63"/>
      <c r="Q79" s="63"/>
      <c r="R79" s="63"/>
      <c r="S79" s="65"/>
      <c r="T79" s="65"/>
      <c r="U79" s="65"/>
      <c r="V79" s="65"/>
      <c r="W79" s="65"/>
      <c r="X79" s="63"/>
      <c r="Y79" s="63"/>
    </row>
    <row r="80" spans="1:25" x14ac:dyDescent="0.35">
      <c r="A80" s="102"/>
      <c r="B80" s="84" t="s">
        <v>90</v>
      </c>
      <c r="C80" s="17">
        <v>4</v>
      </c>
      <c r="D80" s="85"/>
      <c r="E80" s="85"/>
      <c r="F80" s="85"/>
      <c r="G80" s="86"/>
      <c r="H80" s="103"/>
      <c r="I80" s="63"/>
      <c r="J80" s="63"/>
      <c r="K80" s="64"/>
      <c r="L80" s="63"/>
      <c r="M80" s="63"/>
      <c r="N80" s="63"/>
      <c r="O80" s="63"/>
      <c r="P80" s="63"/>
      <c r="Q80" s="63"/>
      <c r="R80" s="63"/>
      <c r="S80" s="65"/>
      <c r="T80" s="65"/>
      <c r="U80" s="65"/>
      <c r="V80" s="65"/>
      <c r="W80" s="65"/>
      <c r="X80" s="63"/>
      <c r="Y80" s="63"/>
    </row>
    <row r="81" spans="1:25" x14ac:dyDescent="0.35">
      <c r="A81" s="102"/>
      <c r="B81" s="84" t="s">
        <v>2</v>
      </c>
      <c r="C81" s="14" t="s">
        <v>26</v>
      </c>
      <c r="D81" s="85"/>
      <c r="E81" s="85"/>
      <c r="F81" s="85"/>
      <c r="G81" s="86"/>
      <c r="H81" s="103"/>
      <c r="I81" s="63"/>
      <c r="J81" s="63"/>
      <c r="K81" s="64"/>
      <c r="L81" s="63"/>
      <c r="M81" s="63"/>
      <c r="N81" s="63"/>
      <c r="O81" s="63"/>
      <c r="P81" s="63"/>
      <c r="Q81" s="63"/>
      <c r="R81" s="63"/>
      <c r="S81" s="65"/>
      <c r="T81" s="65"/>
      <c r="U81" s="65"/>
      <c r="V81" s="65"/>
      <c r="W81" s="65"/>
      <c r="X81" s="63"/>
      <c r="Y81" s="63"/>
    </row>
    <row r="82" spans="1:25" ht="13.5" thickBot="1" x14ac:dyDescent="0.4">
      <c r="A82" s="102"/>
      <c r="B82" s="84" t="s">
        <v>3</v>
      </c>
      <c r="C82" s="31" t="s">
        <v>14</v>
      </c>
      <c r="D82" s="85"/>
      <c r="E82" s="85"/>
      <c r="F82" s="85"/>
      <c r="G82" s="86"/>
      <c r="H82" s="103"/>
      <c r="I82" s="63"/>
      <c r="J82" s="63"/>
      <c r="K82" s="64"/>
      <c r="L82" s="63"/>
      <c r="M82" s="63"/>
      <c r="N82" s="63"/>
      <c r="O82" s="63"/>
      <c r="P82" s="63"/>
      <c r="Q82" s="63"/>
      <c r="R82" s="63"/>
      <c r="S82" s="65"/>
      <c r="T82" s="65"/>
      <c r="U82" s="65"/>
      <c r="V82" s="65"/>
      <c r="W82" s="65"/>
      <c r="X82" s="63"/>
      <c r="Y82" s="63"/>
    </row>
    <row r="83" spans="1:25" x14ac:dyDescent="0.35">
      <c r="A83" s="102"/>
      <c r="B83" s="87" t="s">
        <v>85</v>
      </c>
      <c r="C83" s="32" t="s">
        <v>35</v>
      </c>
      <c r="D83" s="33" t="s">
        <v>6</v>
      </c>
      <c r="E83" s="33" t="s">
        <v>7</v>
      </c>
      <c r="F83" s="34" t="s">
        <v>8</v>
      </c>
      <c r="G83" s="86"/>
      <c r="H83" s="103"/>
      <c r="I83" s="63"/>
      <c r="J83" s="63"/>
      <c r="K83" s="64"/>
      <c r="L83" s="63"/>
      <c r="M83" s="63"/>
      <c r="N83" s="63"/>
      <c r="O83" s="63"/>
      <c r="P83" s="63"/>
      <c r="Q83" s="63"/>
      <c r="R83" s="63"/>
      <c r="S83" s="65"/>
      <c r="T83" s="65"/>
      <c r="U83" s="65"/>
      <c r="V83" s="65"/>
      <c r="W83" s="65"/>
      <c r="X83" s="63"/>
      <c r="Y83" s="63"/>
    </row>
    <row r="84" spans="1:25" x14ac:dyDescent="0.35">
      <c r="A84" s="102"/>
      <c r="B84" s="87" t="s">
        <v>84</v>
      </c>
      <c r="C84" s="35">
        <v>0</v>
      </c>
      <c r="D84" s="14">
        <v>1</v>
      </c>
      <c r="E84" s="14">
        <v>1</v>
      </c>
      <c r="F84" s="36">
        <v>1</v>
      </c>
      <c r="G84" s="86"/>
      <c r="H84" s="103"/>
      <c r="I84" s="63"/>
      <c r="J84" s="63"/>
      <c r="K84" s="64"/>
      <c r="L84" s="63"/>
      <c r="M84" s="63"/>
      <c r="N84" s="63"/>
      <c r="O84" s="63"/>
      <c r="P84" s="63"/>
      <c r="Q84" s="63"/>
      <c r="R84" s="63"/>
      <c r="S84" s="65"/>
      <c r="T84" s="65"/>
      <c r="U84" s="65"/>
      <c r="V84" s="65"/>
      <c r="W84" s="65"/>
      <c r="X84" s="63"/>
      <c r="Y84" s="63"/>
    </row>
    <row r="85" spans="1:25" x14ac:dyDescent="0.35">
      <c r="A85" s="102"/>
      <c r="B85" s="232" t="s">
        <v>86</v>
      </c>
      <c r="C85" s="184" t="str">
        <f>IF(
  ROWS($C$85:C85)&lt;= $C$84,
  $C$77 &amp; "-" &amp; C$83 &amp; ROWS($C$85:C85),
  ""
)</f>
        <v/>
      </c>
      <c r="D85" s="185" t="str">
        <f>IF(
  ROWS($D$85:D85)&lt;= $D$84,
  $C$77 &amp; "-" &amp; D$83 &amp; ROWS($D$85:D85),
  ""
)</f>
        <v>CT2-H11</v>
      </c>
      <c r="E85" s="185" t="str">
        <f>IF(
  ROWS($E$85:E85)&lt;= $E$84,
  $C$77 &amp; "-" &amp; E$83 &amp; ROWS($E$85:E85),
  ""
)</f>
        <v>CT2-H21</v>
      </c>
      <c r="F85" s="186" t="str">
        <f>IF(
  ROWS($F$85:F85)&lt;= $F$84,
  $C$77 &amp; "-" &amp; F$83 &amp; ROWS($F$85:F85),
  ""
)</f>
        <v>CT2-H31</v>
      </c>
      <c r="G85" s="86"/>
      <c r="H85" s="103"/>
      <c r="I85" s="63"/>
      <c r="J85" s="63"/>
      <c r="K85" s="64"/>
      <c r="L85" s="63"/>
      <c r="M85" s="63"/>
      <c r="N85" s="63"/>
      <c r="O85" s="63"/>
      <c r="P85" s="63"/>
      <c r="Q85" s="63"/>
      <c r="R85" s="63"/>
      <c r="S85" s="65"/>
      <c r="T85" s="65"/>
      <c r="U85" s="65"/>
      <c r="V85" s="65"/>
      <c r="W85" s="65"/>
      <c r="X85" s="63"/>
      <c r="Y85" s="63"/>
    </row>
    <row r="86" spans="1:25" x14ac:dyDescent="0.35">
      <c r="A86" s="102"/>
      <c r="B86" s="232"/>
      <c r="C86" s="184" t="str">
        <f>IF(
  ROWS($C$85:C86)&lt;= $C$84,
  $C$77 &amp; "-" &amp; C$83 &amp; ROWS($C$85:C86),
  ""
)</f>
        <v/>
      </c>
      <c r="D86" s="185" t="str">
        <f>IF(
  ROWS($D$85:D86)&lt;= $D$84,
  $C$77 &amp; "-" &amp; D$83 &amp; ROWS($D$85:D86),
  ""
)</f>
        <v/>
      </c>
      <c r="E86" s="185" t="str">
        <f>IF(
  ROWS($E$85:E86)&lt;= $E$84,
  $C$77 &amp; "-" &amp; E$83 &amp; ROWS($E$85:E86),
  ""
)</f>
        <v/>
      </c>
      <c r="F86" s="186" t="str">
        <f>IF(
  ROWS($F$85:F86)&lt;= $F$84,
  $C$77 &amp; "-" &amp; F$83 &amp; ROWS($F$85:F86),
  ""
)</f>
        <v/>
      </c>
      <c r="G86" s="86"/>
      <c r="H86" s="103"/>
      <c r="I86" s="63"/>
      <c r="J86" s="63"/>
      <c r="K86" s="64"/>
      <c r="L86" s="63"/>
      <c r="M86" s="63"/>
      <c r="N86" s="63"/>
      <c r="O86" s="63"/>
      <c r="P86" s="63"/>
      <c r="Q86" s="63"/>
      <c r="R86" s="63"/>
      <c r="S86" s="65"/>
      <c r="T86" s="65"/>
      <c r="U86" s="65"/>
      <c r="V86" s="65"/>
      <c r="W86" s="65"/>
      <c r="X86" s="63"/>
      <c r="Y86" s="63"/>
    </row>
    <row r="87" spans="1:25" x14ac:dyDescent="0.35">
      <c r="A87" s="102"/>
      <c r="B87" s="232"/>
      <c r="C87" s="184" t="str">
        <f>IF(
  ROWS($C$85:C87)&lt;= $C$84,
  $C$77 &amp; "-" &amp; C$83 &amp; ROWS($C$85:C87),
  ""
)</f>
        <v/>
      </c>
      <c r="D87" s="185" t="str">
        <f>IF(
  ROWS($D$85:D87)&lt;= $D$84,
  $C$77 &amp; "-" &amp; D$83 &amp; ROWS($D$85:D87),
  ""
)</f>
        <v/>
      </c>
      <c r="E87" s="185" t="str">
        <f>IF(
  ROWS($E$85:E87)&lt;= $E$84,
  $C$77 &amp; "-" &amp; E$83 &amp; ROWS($E$85:E87),
  ""
)</f>
        <v/>
      </c>
      <c r="F87" s="186" t="str">
        <f>IF(
  ROWS($F$85:F87)&lt;= $F$84,
  $C$77 &amp; "-" &amp; F$83 &amp; ROWS($F$85:F87),
  ""
)</f>
        <v/>
      </c>
      <c r="G87" s="86"/>
      <c r="H87" s="103"/>
      <c r="I87" s="63"/>
      <c r="J87" s="63"/>
      <c r="K87" s="64"/>
      <c r="L87" s="63"/>
      <c r="M87" s="63"/>
      <c r="N87" s="63"/>
      <c r="O87" s="63"/>
      <c r="P87" s="63"/>
      <c r="Q87" s="63"/>
      <c r="R87" s="63"/>
      <c r="S87" s="65"/>
      <c r="T87" s="65"/>
      <c r="U87" s="65"/>
      <c r="V87" s="65"/>
      <c r="W87" s="65"/>
      <c r="X87" s="63"/>
      <c r="Y87" s="63"/>
    </row>
    <row r="88" spans="1:25" x14ac:dyDescent="0.35">
      <c r="A88" s="102"/>
      <c r="B88" s="232"/>
      <c r="C88" s="184" t="str">
        <f>IF(
  ROWS($C$85:C88)&lt;= $C$84,
  $C$77 &amp; "-" &amp; C$83 &amp; ROWS($C$85:C88),
  ""
)</f>
        <v/>
      </c>
      <c r="D88" s="185" t="str">
        <f>IF(
  ROWS($D$85:D88)&lt;= $D$84,
  $C$77 &amp; "-" &amp; D$83 &amp; ROWS($D$85:D88),
  ""
)</f>
        <v/>
      </c>
      <c r="E88" s="185" t="str">
        <f>IF(
  ROWS($E$85:E88)&lt;= $E$84,
  $C$77 &amp; "-" &amp; E$83 &amp; ROWS($E$85:E88),
  ""
)</f>
        <v/>
      </c>
      <c r="F88" s="186" t="str">
        <f>IF(
  ROWS($F$85:F88)&lt;= $F$84,
  $C$77 &amp; "-" &amp; F$83 &amp; ROWS($F$85:F88),
  ""
)</f>
        <v/>
      </c>
      <c r="G88" s="86"/>
      <c r="H88" s="103"/>
      <c r="I88" s="63"/>
      <c r="J88" s="63"/>
      <c r="K88" s="64"/>
      <c r="L88" s="63"/>
      <c r="M88" s="63"/>
      <c r="N88" s="63"/>
      <c r="O88" s="63"/>
      <c r="P88" s="63"/>
      <c r="Q88" s="63"/>
      <c r="R88" s="63"/>
      <c r="S88" s="65"/>
      <c r="T88" s="65"/>
      <c r="U88" s="65"/>
      <c r="V88" s="65"/>
      <c r="W88" s="65"/>
      <c r="X88" s="63"/>
      <c r="Y88" s="63"/>
    </row>
    <row r="89" spans="1:25" x14ac:dyDescent="0.35">
      <c r="A89" s="102"/>
      <c r="B89" s="232"/>
      <c r="C89" s="184" t="str">
        <f>IF(
  ROWS($C$85:C89)&lt;= $C$84,
  $C$77 &amp; "-" &amp; C$83 &amp; ROWS($C$85:C89),
  ""
)</f>
        <v/>
      </c>
      <c r="D89" s="185" t="str">
        <f>IF(
  ROWS($D$85:D89)&lt;= $D$84,
  $C$77 &amp; "-" &amp; D$83 &amp; ROWS($D$85:D89),
  ""
)</f>
        <v/>
      </c>
      <c r="E89" s="185" t="str">
        <f>IF(
  ROWS($E$85:E89)&lt;= $E$84,
  $C$77 &amp; "-" &amp; E$83 &amp; ROWS($E$85:E89),
  ""
)</f>
        <v/>
      </c>
      <c r="F89" s="186" t="str">
        <f>IF(
  ROWS($F$85:F89)&lt;= $F$84,
  $C$77 &amp; "-" &amp; F$83 &amp; ROWS($F$85:F89),
  ""
)</f>
        <v/>
      </c>
      <c r="G89" s="86"/>
      <c r="H89" s="103"/>
      <c r="I89" s="63"/>
      <c r="J89" s="63"/>
      <c r="K89" s="64"/>
      <c r="L89" s="63"/>
      <c r="M89" s="63"/>
      <c r="N89" s="63"/>
      <c r="O89" s="63"/>
      <c r="P89" s="63"/>
      <c r="Q89" s="63"/>
      <c r="R89" s="63"/>
      <c r="S89" s="65"/>
      <c r="T89" s="65"/>
      <c r="U89" s="65"/>
      <c r="V89" s="65"/>
      <c r="W89" s="65"/>
      <c r="X89" s="63"/>
      <c r="Y89" s="63"/>
    </row>
    <row r="90" spans="1:25" ht="13.5" thickBot="1" x14ac:dyDescent="0.4">
      <c r="A90" s="102"/>
      <c r="B90" s="232"/>
      <c r="C90" s="187" t="str">
        <f>IF(
  ROWS($C$85:C90)&lt;= $C$84,
  $C$77 &amp; "-" &amp; C$83 &amp; ROWS($C$85:C90),
  ""
)</f>
        <v/>
      </c>
      <c r="D90" s="188" t="str">
        <f>IF(
  ROWS($D$85:D90)&lt;= $D$84,
  $C$77 &amp; "-" &amp; D$83 &amp; ROWS($D$85:D90),
  ""
)</f>
        <v/>
      </c>
      <c r="E90" s="188" t="str">
        <f>IF(
  ROWS($E$85:E90)&lt;= $E$84,
  $C$77 &amp; "-" &amp; E$83 &amp; ROWS($E$85:E90),
  ""
)</f>
        <v/>
      </c>
      <c r="F90" s="189" t="str">
        <f>IF(
  ROWS($F$85:F90)&lt;= $F$84,
  $C$77 &amp; "-" &amp; F$83 &amp; ROWS($F$85:F90),
  ""
)</f>
        <v/>
      </c>
      <c r="G90" s="86"/>
      <c r="H90" s="103"/>
      <c r="I90" s="63"/>
      <c r="J90" s="63"/>
      <c r="K90" s="64"/>
      <c r="L90" s="63"/>
      <c r="M90" s="63"/>
      <c r="N90" s="63"/>
      <c r="O90" s="63"/>
      <c r="P90" s="63"/>
      <c r="Q90" s="63"/>
      <c r="R90" s="63"/>
      <c r="S90" s="65"/>
      <c r="T90" s="65"/>
      <c r="U90" s="65"/>
      <c r="V90" s="65"/>
      <c r="W90" s="65"/>
      <c r="X90" s="63"/>
      <c r="Y90" s="63"/>
    </row>
    <row r="91" spans="1:25" x14ac:dyDescent="0.35">
      <c r="A91" s="102"/>
      <c r="B91" s="84" t="s">
        <v>119</v>
      </c>
      <c r="C91" s="23">
        <v>4</v>
      </c>
      <c r="D91" s="85"/>
      <c r="E91" s="85"/>
      <c r="F91" s="85"/>
      <c r="G91" s="86"/>
      <c r="H91" s="103"/>
      <c r="I91" s="63"/>
      <c r="J91" s="63"/>
      <c r="K91" s="64"/>
      <c r="L91" s="63"/>
      <c r="M91" s="63"/>
      <c r="N91" s="63"/>
      <c r="O91" s="63"/>
      <c r="P91" s="63"/>
      <c r="Q91" s="63"/>
      <c r="R91" s="63"/>
      <c r="S91" s="65"/>
      <c r="T91" s="65"/>
      <c r="U91" s="65"/>
      <c r="V91" s="65"/>
      <c r="W91" s="65"/>
      <c r="X91" s="63"/>
      <c r="Y91" s="63"/>
    </row>
    <row r="92" spans="1:25" x14ac:dyDescent="0.35">
      <c r="A92" s="102"/>
      <c r="B92" s="84" t="s">
        <v>120</v>
      </c>
      <c r="C92" s="19" t="b">
        <f>IF(OR(C78="WTI", C78="LDC"),FALSE,TRUE)</f>
        <v>1</v>
      </c>
      <c r="D92" s="21" t="s">
        <v>185</v>
      </c>
      <c r="E92" s="85"/>
      <c r="F92" s="85"/>
      <c r="G92" s="86"/>
      <c r="H92" s="103"/>
      <c r="I92" s="63"/>
      <c r="J92" s="63"/>
      <c r="K92" s="64"/>
      <c r="L92" s="63"/>
      <c r="M92" s="63"/>
      <c r="N92" s="63"/>
      <c r="O92" s="63"/>
      <c r="P92" s="63"/>
      <c r="Q92" s="63"/>
      <c r="R92" s="63"/>
      <c r="S92" s="65"/>
      <c r="T92" s="65"/>
      <c r="U92" s="65"/>
      <c r="V92" s="65"/>
      <c r="W92" s="65"/>
      <c r="X92" s="63"/>
      <c r="Y92" s="63"/>
    </row>
    <row r="93" spans="1:25" x14ac:dyDescent="0.35">
      <c r="A93" s="102"/>
      <c r="B93" s="84" t="s">
        <v>121</v>
      </c>
      <c r="C93" s="19" t="b">
        <f>IF(OR(C78="WTI", C78="LDC"),FALSE,TRUE)</f>
        <v>1</v>
      </c>
      <c r="D93" s="21" t="s">
        <v>186</v>
      </c>
      <c r="E93" s="85"/>
      <c r="F93" s="85"/>
      <c r="G93" s="86"/>
      <c r="H93" s="103"/>
      <c r="I93" s="63"/>
      <c r="J93" s="63"/>
      <c r="K93" s="64"/>
      <c r="L93" s="63"/>
      <c r="M93" s="63"/>
      <c r="N93" s="63"/>
      <c r="O93" s="63"/>
      <c r="P93" s="63"/>
      <c r="Q93" s="63"/>
      <c r="R93" s="63"/>
      <c r="S93" s="65"/>
      <c r="T93" s="65"/>
      <c r="U93" s="65"/>
      <c r="V93" s="65"/>
      <c r="W93" s="65"/>
      <c r="X93" s="63"/>
      <c r="Y93" s="63"/>
    </row>
    <row r="94" spans="1:25" x14ac:dyDescent="0.35">
      <c r="A94" s="102"/>
      <c r="B94" s="84" t="str">
        <f>IF(C92=TRUE, "Ratio Type", "")</f>
        <v>Ratio Type</v>
      </c>
      <c r="C94" s="14" t="s">
        <v>30</v>
      </c>
      <c r="D94" s="85"/>
      <c r="E94" s="85"/>
      <c r="F94" s="85"/>
      <c r="G94" s="86"/>
      <c r="H94" s="103"/>
      <c r="I94" s="63"/>
      <c r="J94" s="63"/>
      <c r="K94" s="64"/>
      <c r="L94" s="63"/>
      <c r="M94" s="63"/>
      <c r="N94" s="63"/>
      <c r="O94" s="63"/>
      <c r="P94" s="63"/>
      <c r="Q94" s="63"/>
      <c r="R94" s="63"/>
      <c r="S94" s="65"/>
      <c r="T94" s="65"/>
      <c r="U94" s="65"/>
      <c r="V94" s="65"/>
      <c r="W94" s="65"/>
      <c r="X94" s="63"/>
      <c r="Y94" s="63"/>
    </row>
    <row r="95" spans="1:25" x14ac:dyDescent="0.35">
      <c r="A95" s="102"/>
      <c r="B95" s="89" t="s">
        <v>91</v>
      </c>
      <c r="C95" s="20">
        <v>2</v>
      </c>
      <c r="D95" s="85"/>
      <c r="E95" s="85"/>
      <c r="F95" s="85"/>
      <c r="G95" s="86"/>
      <c r="H95" s="103"/>
      <c r="I95" s="63"/>
      <c r="J95" s="63"/>
      <c r="K95" s="64"/>
      <c r="L95" s="63"/>
      <c r="M95" s="63"/>
      <c r="N95" s="63"/>
      <c r="O95" s="63"/>
      <c r="P95" s="63"/>
      <c r="Q95" s="63"/>
      <c r="R95" s="63"/>
      <c r="S95" s="65"/>
      <c r="T95" s="65"/>
      <c r="U95" s="65"/>
      <c r="V95" s="65"/>
      <c r="W95" s="65"/>
      <c r="X95" s="63"/>
      <c r="Y95" s="63"/>
    </row>
    <row r="96" spans="1:25" x14ac:dyDescent="0.35">
      <c r="A96" s="102"/>
      <c r="B96" s="233" t="s">
        <v>96</v>
      </c>
      <c r="C96" s="234" t="s">
        <v>103</v>
      </c>
      <c r="D96" s="234"/>
      <c r="E96" s="234"/>
      <c r="F96" s="234"/>
      <c r="G96" s="86"/>
      <c r="H96" s="103"/>
      <c r="I96" s="63"/>
      <c r="J96" s="63"/>
      <c r="K96" s="64"/>
      <c r="L96" s="63"/>
      <c r="M96" s="63"/>
      <c r="N96" s="63"/>
      <c r="O96" s="63"/>
      <c r="P96" s="63"/>
      <c r="Q96" s="63"/>
      <c r="R96" s="63"/>
      <c r="S96" s="65"/>
      <c r="T96" s="65"/>
      <c r="U96" s="65"/>
      <c r="V96" s="65"/>
      <c r="W96" s="65"/>
      <c r="X96" s="63"/>
      <c r="Y96" s="63"/>
    </row>
    <row r="97" spans="1:25" x14ac:dyDescent="0.35">
      <c r="A97" s="102"/>
      <c r="B97" s="233"/>
      <c r="C97" s="234"/>
      <c r="D97" s="234"/>
      <c r="E97" s="234"/>
      <c r="F97" s="234"/>
      <c r="G97" s="86"/>
      <c r="H97" s="103"/>
      <c r="I97" s="63"/>
      <c r="J97" s="63"/>
      <c r="K97" s="64"/>
      <c r="L97" s="63"/>
      <c r="M97" s="63"/>
      <c r="N97" s="63"/>
      <c r="O97" s="63"/>
      <c r="P97" s="63"/>
      <c r="Q97" s="63"/>
      <c r="R97" s="63"/>
      <c r="S97" s="65"/>
      <c r="T97" s="65"/>
      <c r="U97" s="65"/>
      <c r="V97" s="65"/>
      <c r="W97" s="65"/>
      <c r="X97" s="63"/>
      <c r="Y97" s="63"/>
    </row>
    <row r="98" spans="1:25" x14ac:dyDescent="0.35">
      <c r="A98" s="102"/>
      <c r="B98" s="90"/>
      <c r="C98" s="85"/>
      <c r="D98" s="85"/>
      <c r="E98" s="85"/>
      <c r="F98" s="85"/>
      <c r="G98" s="86"/>
      <c r="H98" s="103"/>
      <c r="I98" s="63"/>
      <c r="J98" s="63"/>
      <c r="K98" s="64"/>
      <c r="L98" s="63"/>
      <c r="M98" s="63"/>
      <c r="N98" s="63"/>
      <c r="O98" s="63"/>
      <c r="P98" s="63"/>
      <c r="Q98" s="63"/>
      <c r="R98" s="63"/>
      <c r="S98" s="65"/>
      <c r="T98" s="65"/>
      <c r="U98" s="65"/>
      <c r="V98" s="65"/>
      <c r="W98" s="65"/>
      <c r="X98" s="63"/>
      <c r="Y98" s="63"/>
    </row>
    <row r="99" spans="1:25" ht="13.5" thickBot="1" x14ac:dyDescent="0.4">
      <c r="A99" s="102"/>
      <c r="B99" s="91"/>
      <c r="C99" s="92"/>
      <c r="D99" s="92"/>
      <c r="E99" s="92"/>
      <c r="F99" s="92"/>
      <c r="G99" s="98"/>
      <c r="H99" s="103"/>
      <c r="I99" s="63"/>
      <c r="J99" s="63"/>
      <c r="K99" s="64"/>
      <c r="L99" s="63"/>
      <c r="M99" s="63"/>
      <c r="N99" s="63"/>
      <c r="O99" s="63"/>
      <c r="P99" s="63"/>
      <c r="Q99" s="63"/>
      <c r="R99" s="63"/>
      <c r="S99" s="65"/>
      <c r="T99" s="65"/>
      <c r="U99" s="65"/>
      <c r="V99" s="65"/>
      <c r="W99" s="65"/>
      <c r="X99" s="63"/>
      <c r="Y99" s="63"/>
    </row>
    <row r="100" spans="1:25" ht="13.5" thickBot="1" x14ac:dyDescent="0.4">
      <c r="A100" s="102"/>
      <c r="B100" s="102"/>
      <c r="C100" s="103"/>
      <c r="D100" s="103"/>
      <c r="E100" s="103"/>
      <c r="F100" s="103"/>
      <c r="G100" s="102"/>
      <c r="H100" s="103"/>
      <c r="I100" s="63"/>
      <c r="J100" s="63"/>
      <c r="K100" s="64"/>
      <c r="L100" s="63"/>
      <c r="M100" s="63"/>
      <c r="N100" s="63"/>
      <c r="O100" s="63"/>
      <c r="P100" s="63"/>
      <c r="Q100" s="63"/>
      <c r="R100" s="63"/>
      <c r="S100" s="65"/>
      <c r="T100" s="65"/>
      <c r="U100" s="65"/>
      <c r="V100" s="65"/>
      <c r="W100" s="65"/>
      <c r="X100" s="63"/>
      <c r="Y100" s="63"/>
    </row>
    <row r="101" spans="1:25" x14ac:dyDescent="0.35">
      <c r="A101" s="102"/>
      <c r="B101" s="235" t="s">
        <v>0</v>
      </c>
      <c r="C101" s="214" t="s">
        <v>188</v>
      </c>
      <c r="D101" s="214"/>
      <c r="E101" s="214"/>
      <c r="F101" s="214"/>
      <c r="G101" s="237">
        <v>4</v>
      </c>
      <c r="H101" s="103"/>
      <c r="I101" s="63"/>
      <c r="J101" s="63"/>
      <c r="K101" s="64"/>
      <c r="L101" s="63"/>
      <c r="M101" s="63"/>
      <c r="N101" s="63"/>
      <c r="O101" s="63"/>
      <c r="P101" s="63"/>
      <c r="Q101" s="63"/>
      <c r="R101" s="63"/>
      <c r="S101" s="65"/>
      <c r="T101" s="65"/>
      <c r="U101" s="65"/>
      <c r="V101" s="65"/>
      <c r="W101" s="65"/>
      <c r="X101" s="63"/>
      <c r="Y101" s="63"/>
    </row>
    <row r="102" spans="1:25" x14ac:dyDescent="0.35">
      <c r="A102" s="102"/>
      <c r="B102" s="236"/>
      <c r="C102" s="215"/>
      <c r="D102" s="215"/>
      <c r="E102" s="215"/>
      <c r="F102" s="215"/>
      <c r="G102" s="238"/>
      <c r="H102" s="103"/>
      <c r="I102" s="63"/>
      <c r="J102" s="63"/>
      <c r="K102" s="64"/>
      <c r="L102" s="63"/>
      <c r="M102" s="63"/>
      <c r="N102" s="63"/>
      <c r="O102" s="63"/>
      <c r="P102" s="63"/>
      <c r="Q102" s="63"/>
      <c r="R102" s="63"/>
      <c r="S102" s="65"/>
      <c r="T102" s="65"/>
      <c r="U102" s="65"/>
      <c r="V102" s="65"/>
      <c r="W102" s="65"/>
      <c r="X102" s="63"/>
      <c r="Y102" s="63"/>
    </row>
    <row r="103" spans="1:25" x14ac:dyDescent="0.35">
      <c r="A103" s="102"/>
      <c r="B103" s="84" t="s">
        <v>82</v>
      </c>
      <c r="C103" s="24" t="s">
        <v>187</v>
      </c>
      <c r="D103" s="85"/>
      <c r="E103" s="85"/>
      <c r="F103" s="85"/>
      <c r="G103" s="86"/>
      <c r="H103" s="103"/>
      <c r="I103" s="63"/>
      <c r="J103" s="63"/>
      <c r="K103" s="64"/>
      <c r="L103" s="63"/>
      <c r="M103" s="63"/>
      <c r="N103" s="63"/>
      <c r="O103" s="63"/>
      <c r="P103" s="63"/>
      <c r="Q103" s="63"/>
      <c r="R103" s="63"/>
      <c r="S103" s="65"/>
      <c r="T103" s="65"/>
      <c r="U103" s="65"/>
      <c r="V103" s="65"/>
      <c r="W103" s="65"/>
      <c r="X103" s="63"/>
      <c r="Y103" s="63"/>
    </row>
    <row r="104" spans="1:25" x14ac:dyDescent="0.35">
      <c r="A104" s="102"/>
      <c r="B104" s="84" t="s">
        <v>9</v>
      </c>
      <c r="C104" s="16" t="s">
        <v>4</v>
      </c>
      <c r="D104" s="85"/>
      <c r="E104" s="85" t="str">
        <f>IF(OR(C104="WTI", C104="LDC"),"CT Accuracy", "")</f>
        <v>CT Accuracy</v>
      </c>
      <c r="F104" s="14" t="s">
        <v>77</v>
      </c>
      <c r="G104" s="86"/>
      <c r="H104" s="103"/>
      <c r="I104" s="63"/>
      <c r="J104" s="63"/>
      <c r="K104" s="64"/>
      <c r="L104" s="63"/>
      <c r="M104" s="63"/>
      <c r="N104" s="63"/>
      <c r="O104" s="63"/>
      <c r="P104" s="63"/>
      <c r="Q104" s="63"/>
      <c r="R104" s="63"/>
      <c r="S104" s="65"/>
      <c r="T104" s="65"/>
      <c r="U104" s="65"/>
      <c r="V104" s="65"/>
      <c r="W104" s="65"/>
      <c r="X104" s="63"/>
      <c r="Y104" s="63"/>
    </row>
    <row r="105" spans="1:25" x14ac:dyDescent="0.35">
      <c r="A105" s="102"/>
      <c r="B105" s="84" t="s">
        <v>10</v>
      </c>
      <c r="C105" s="16" t="s">
        <v>18</v>
      </c>
      <c r="D105" s="85"/>
      <c r="E105" s="85"/>
      <c r="F105" s="85"/>
      <c r="G105" s="86"/>
      <c r="H105" s="103"/>
      <c r="I105" s="63"/>
      <c r="J105" s="63"/>
      <c r="K105" s="64"/>
      <c r="L105" s="63"/>
      <c r="M105" s="63"/>
      <c r="N105" s="63"/>
      <c r="O105" s="63"/>
      <c r="P105" s="63"/>
      <c r="Q105" s="63"/>
      <c r="R105" s="63"/>
      <c r="S105" s="65"/>
      <c r="T105" s="65"/>
      <c r="U105" s="65"/>
      <c r="V105" s="65"/>
      <c r="W105" s="65"/>
      <c r="X105" s="63"/>
      <c r="Y105" s="63"/>
    </row>
    <row r="106" spans="1:25" x14ac:dyDescent="0.35">
      <c r="A106" s="102"/>
      <c r="B106" s="84" t="s">
        <v>90</v>
      </c>
      <c r="C106" s="17">
        <v>4</v>
      </c>
      <c r="D106" s="85"/>
      <c r="E106" s="85"/>
      <c r="F106" s="85"/>
      <c r="G106" s="86"/>
      <c r="H106" s="103"/>
      <c r="I106" s="63"/>
      <c r="J106" s="63"/>
      <c r="K106" s="64"/>
      <c r="L106" s="63"/>
      <c r="M106" s="63"/>
      <c r="N106" s="63"/>
      <c r="O106" s="63"/>
      <c r="P106" s="63"/>
      <c r="Q106" s="63"/>
      <c r="R106" s="63"/>
      <c r="S106" s="65"/>
      <c r="T106" s="65"/>
      <c r="U106" s="65"/>
      <c r="V106" s="65"/>
      <c r="W106" s="65"/>
      <c r="X106" s="63"/>
      <c r="Y106" s="63"/>
    </row>
    <row r="107" spans="1:25" x14ac:dyDescent="0.35">
      <c r="A107" s="102"/>
      <c r="B107" s="84" t="s">
        <v>2</v>
      </c>
      <c r="C107" s="14" t="s">
        <v>26</v>
      </c>
      <c r="D107" s="85"/>
      <c r="E107" s="85"/>
      <c r="F107" s="85"/>
      <c r="G107" s="86"/>
      <c r="H107" s="103"/>
      <c r="I107" s="63"/>
      <c r="J107" s="63"/>
      <c r="K107" s="64"/>
      <c r="L107" s="63"/>
      <c r="M107" s="63"/>
      <c r="N107" s="63"/>
      <c r="O107" s="63"/>
      <c r="P107" s="63"/>
      <c r="Q107" s="63"/>
      <c r="R107" s="63"/>
      <c r="S107" s="65"/>
      <c r="T107" s="65"/>
      <c r="U107" s="65"/>
      <c r="V107" s="65"/>
      <c r="W107" s="65"/>
      <c r="X107" s="63"/>
      <c r="Y107" s="63"/>
    </row>
    <row r="108" spans="1:25" x14ac:dyDescent="0.35">
      <c r="A108" s="102"/>
      <c r="B108" s="84" t="s">
        <v>3</v>
      </c>
      <c r="C108" s="31" t="s">
        <v>14</v>
      </c>
      <c r="D108" s="85"/>
      <c r="E108" s="85"/>
      <c r="F108" s="85"/>
      <c r="G108" s="86"/>
      <c r="H108" s="103"/>
      <c r="I108" s="63"/>
      <c r="J108" s="63"/>
      <c r="K108" s="64"/>
      <c r="L108" s="63"/>
      <c r="M108" s="63"/>
      <c r="N108" s="63"/>
      <c r="O108" s="63"/>
      <c r="P108" s="63"/>
      <c r="Q108" s="63"/>
      <c r="R108" s="63"/>
      <c r="S108" s="65"/>
      <c r="T108" s="65"/>
      <c r="U108" s="65"/>
      <c r="V108" s="65"/>
      <c r="W108" s="65"/>
      <c r="X108" s="63"/>
      <c r="Y108" s="63"/>
    </row>
    <row r="109" spans="1:25" x14ac:dyDescent="0.35">
      <c r="A109" s="102"/>
      <c r="B109" s="87" t="s">
        <v>85</v>
      </c>
      <c r="C109" s="22" t="s">
        <v>35</v>
      </c>
      <c r="D109" s="22" t="s">
        <v>6</v>
      </c>
      <c r="E109" s="22" t="s">
        <v>7</v>
      </c>
      <c r="F109" s="22" t="s">
        <v>8</v>
      </c>
      <c r="G109" s="86"/>
      <c r="H109" s="103"/>
      <c r="I109" s="63"/>
      <c r="J109" s="63"/>
      <c r="K109" s="64"/>
      <c r="L109" s="63"/>
      <c r="M109" s="63"/>
      <c r="N109" s="63"/>
      <c r="O109" s="63"/>
      <c r="P109" s="63"/>
      <c r="Q109" s="63"/>
      <c r="R109" s="63"/>
      <c r="S109" s="65"/>
      <c r="T109" s="65"/>
      <c r="U109" s="65"/>
      <c r="V109" s="65"/>
      <c r="W109" s="65"/>
      <c r="X109" s="63"/>
      <c r="Y109" s="63"/>
    </row>
    <row r="110" spans="1:25" x14ac:dyDescent="0.35">
      <c r="A110" s="102"/>
      <c r="B110" s="87" t="s">
        <v>84</v>
      </c>
      <c r="C110" s="14">
        <v>0</v>
      </c>
      <c r="D110" s="14">
        <v>0</v>
      </c>
      <c r="E110" s="14">
        <v>1</v>
      </c>
      <c r="F110" s="14">
        <v>0</v>
      </c>
      <c r="G110" s="86"/>
      <c r="H110" s="103"/>
      <c r="I110" s="63"/>
      <c r="J110" s="63"/>
      <c r="K110" s="64"/>
      <c r="L110" s="63"/>
      <c r="M110" s="63"/>
      <c r="N110" s="63"/>
      <c r="O110" s="63"/>
      <c r="P110" s="63"/>
      <c r="Q110" s="63"/>
      <c r="R110" s="63"/>
      <c r="S110" s="65"/>
      <c r="T110" s="65"/>
      <c r="U110" s="65"/>
      <c r="V110" s="65"/>
      <c r="W110" s="65"/>
      <c r="X110" s="63"/>
      <c r="Y110" s="63"/>
    </row>
    <row r="111" spans="1:25" x14ac:dyDescent="0.35">
      <c r="A111" s="102"/>
      <c r="B111" s="232" t="s">
        <v>86</v>
      </c>
      <c r="C111" s="190" t="str">
        <f>IF(
  ROWS($C$111:C111)&lt;= $C$110,
  $C$103 &amp; "-" &amp; C$109 &amp; ROWS($C$111:C111),
  ""
)</f>
        <v/>
      </c>
      <c r="D111" s="190" t="str">
        <f>IF(
  ROWS($D$111:D111)&lt;= $D$110,
  $C$103 &amp; "-" &amp; D$109 &amp; ROWS($D$111:D111),
  ""
)</f>
        <v/>
      </c>
      <c r="E111" s="190" t="str">
        <f>IF(
  ROWS($E$111:E111)&lt;= $E$110,
  $C$103 &amp; "-" &amp; E$109 &amp; ROWS($E$111:E111),
  ""
)</f>
        <v>CT5-H21</v>
      </c>
      <c r="F111" s="190" t="str">
        <f>IF(
  ROWS($F$111:F111)&lt;= $F$110,
  $C$103 &amp; "-" &amp; F$109 &amp; ROWS($F$111:F111),
  ""
)</f>
        <v/>
      </c>
      <c r="G111" s="86"/>
      <c r="H111" s="103"/>
      <c r="I111" s="63"/>
      <c r="J111" s="63"/>
      <c r="K111" s="64"/>
      <c r="L111" s="63"/>
      <c r="M111" s="63"/>
      <c r="N111" s="63"/>
      <c r="O111" s="63"/>
      <c r="P111" s="63"/>
      <c r="Q111" s="63"/>
      <c r="R111" s="63"/>
      <c r="S111" s="65"/>
      <c r="T111" s="65"/>
      <c r="U111" s="65"/>
      <c r="V111" s="65"/>
      <c r="W111" s="65"/>
      <c r="X111" s="63"/>
      <c r="Y111" s="63"/>
    </row>
    <row r="112" spans="1:25" x14ac:dyDescent="0.35">
      <c r="A112" s="102"/>
      <c r="B112" s="232"/>
      <c r="C112" s="190" t="str">
        <f>IF(
  ROWS($C$111:C112)&lt;= $C$110,
  $C$103 &amp; "-" &amp; C$109 &amp; ROWS($C$111:C112),
  ""
)</f>
        <v/>
      </c>
      <c r="D112" s="190" t="str">
        <f>IF(
  ROWS($D$111:D112)&lt;= $D$110,
  $C$103 &amp; "-" &amp; D$109 &amp; ROWS($D$111:D112),
  ""
)</f>
        <v/>
      </c>
      <c r="E112" s="190" t="str">
        <f>IF(
  ROWS($E$111:E112)&lt;= $E$110,
  $C$103 &amp; "-" &amp; E$109 &amp; ROWS($E$111:E112),
  ""
)</f>
        <v/>
      </c>
      <c r="F112" s="190" t="str">
        <f>IF(
  ROWS($F$111:F112)&lt;= $F$110,
  $C$103 &amp; "-" &amp; F$109 &amp; ROWS($F$111:F112),
  ""
)</f>
        <v/>
      </c>
      <c r="G112" s="86"/>
      <c r="H112" s="103"/>
      <c r="I112" s="63"/>
      <c r="J112" s="63"/>
      <c r="K112" s="64"/>
      <c r="L112" s="63"/>
      <c r="M112" s="63"/>
      <c r="N112" s="63"/>
      <c r="O112" s="63"/>
      <c r="P112" s="63"/>
      <c r="Q112" s="63"/>
      <c r="R112" s="63"/>
      <c r="S112" s="65"/>
      <c r="T112" s="65"/>
      <c r="U112" s="65"/>
      <c r="V112" s="65"/>
      <c r="W112" s="65"/>
      <c r="X112" s="63"/>
      <c r="Y112" s="63"/>
    </row>
    <row r="113" spans="1:25" x14ac:dyDescent="0.35">
      <c r="A113" s="102"/>
      <c r="B113" s="232"/>
      <c r="C113" s="190" t="str">
        <f>IF(
  ROWS($C$111:C113)&lt;= $C$110,
  $C$103 &amp; "-" &amp; C$109 &amp; ROWS($C$111:C113),
  ""
)</f>
        <v/>
      </c>
      <c r="D113" s="190" t="str">
        <f>IF(
  ROWS($D$111:D113)&lt;= $D$110,
  $C$103 &amp; "-" &amp; D$109 &amp; ROWS($D$111:D113),
  ""
)</f>
        <v/>
      </c>
      <c r="E113" s="190" t="str">
        <f>IF(
  ROWS($E$111:E113)&lt;= $E$110,
  $C$103 &amp; "-" &amp; E$109 &amp; ROWS($E$111:E113),
  ""
)</f>
        <v/>
      </c>
      <c r="F113" s="190" t="str">
        <f>IF(
  ROWS($F$111:F113)&lt;= $F$110,
  $C$103 &amp; "-" &amp; F$109 &amp; ROWS($F$111:F113),
  ""
)</f>
        <v/>
      </c>
      <c r="G113" s="86"/>
      <c r="H113" s="103"/>
      <c r="I113" s="63"/>
      <c r="J113" s="63"/>
      <c r="K113" s="64"/>
      <c r="L113" s="63"/>
      <c r="M113" s="63"/>
      <c r="N113" s="63"/>
      <c r="O113" s="63"/>
      <c r="P113" s="63"/>
      <c r="Q113" s="63"/>
      <c r="R113" s="63"/>
      <c r="S113" s="65"/>
      <c r="T113" s="65"/>
      <c r="U113" s="65"/>
      <c r="V113" s="65"/>
      <c r="W113" s="65"/>
      <c r="X113" s="63"/>
      <c r="Y113" s="63"/>
    </row>
    <row r="114" spans="1:25" x14ac:dyDescent="0.35">
      <c r="A114" s="102"/>
      <c r="B114" s="232"/>
      <c r="C114" s="190" t="str">
        <f>IF(
  ROWS($C$111:C114)&lt;= $C$110,
  $C$103 &amp; "-" &amp; C$109 &amp; ROWS($C$111:C114),
  ""
)</f>
        <v/>
      </c>
      <c r="D114" s="190" t="str">
        <f>IF(
  ROWS($D$111:D114)&lt;= $D$110,
  $C$103 &amp; "-" &amp; D$109 &amp; ROWS($D$111:D114),
  ""
)</f>
        <v/>
      </c>
      <c r="E114" s="190" t="str">
        <f>IF(
  ROWS($E$111:E114)&lt;= $E$110,
  $C$103 &amp; "-" &amp; E$109 &amp; ROWS($E$111:E114),
  ""
)</f>
        <v/>
      </c>
      <c r="F114" s="190" t="str">
        <f>IF(
  ROWS($F$111:F114)&lt;= $F$110,
  $C$103 &amp; "-" &amp; F$109 &amp; ROWS($F$111:F114),
  ""
)</f>
        <v/>
      </c>
      <c r="G114" s="86"/>
      <c r="H114" s="103"/>
      <c r="I114" s="63"/>
      <c r="J114" s="63"/>
      <c r="K114" s="64"/>
      <c r="L114" s="63"/>
      <c r="M114" s="63"/>
      <c r="N114" s="63"/>
      <c r="O114" s="63"/>
      <c r="P114" s="63"/>
      <c r="Q114" s="63"/>
      <c r="R114" s="63"/>
      <c r="S114" s="65"/>
      <c r="T114" s="65"/>
      <c r="U114" s="65"/>
      <c r="V114" s="65"/>
      <c r="W114" s="65"/>
      <c r="X114" s="63"/>
      <c r="Y114" s="63"/>
    </row>
    <row r="115" spans="1:25" x14ac:dyDescent="0.35">
      <c r="A115" s="102"/>
      <c r="B115" s="232"/>
      <c r="C115" s="190" t="str">
        <f>IF(
  ROWS($C$111:C115)&lt;= $C$110,
  $C$103 &amp; "-" &amp; C$109 &amp; ROWS($C$111:C115),
  ""
)</f>
        <v/>
      </c>
      <c r="D115" s="190" t="str">
        <f>IF(
  ROWS($D$111:D115)&lt;= $D$110,
  $C$103 &amp; "-" &amp; D$109 &amp; ROWS($D$111:D115),
  ""
)</f>
        <v/>
      </c>
      <c r="E115" s="190" t="str">
        <f>IF(
  ROWS($E$111:E115)&lt;= $E$110,
  $C$103 &amp; "-" &amp; E$109 &amp; ROWS($E$111:E115),
  ""
)</f>
        <v/>
      </c>
      <c r="F115" s="190" t="str">
        <f>IF(
  ROWS($F$111:F115)&lt;= $F$110,
  $C$103 &amp; "-" &amp; F$109 &amp; ROWS($F$111:F115),
  ""
)</f>
        <v/>
      </c>
      <c r="G115" s="86"/>
      <c r="H115" s="103"/>
      <c r="I115" s="63"/>
      <c r="J115" s="63"/>
      <c r="K115" s="64"/>
      <c r="L115" s="63"/>
      <c r="M115" s="63"/>
      <c r="N115" s="63"/>
      <c r="O115" s="63"/>
      <c r="P115" s="63"/>
      <c r="Q115" s="63"/>
      <c r="R115" s="63"/>
      <c r="S115" s="65"/>
      <c r="T115" s="65"/>
      <c r="U115" s="65"/>
      <c r="V115" s="65"/>
      <c r="W115" s="65"/>
      <c r="X115" s="63"/>
      <c r="Y115" s="63"/>
    </row>
    <row r="116" spans="1:25" x14ac:dyDescent="0.35">
      <c r="A116" s="102"/>
      <c r="B116" s="232"/>
      <c r="C116" s="190" t="str">
        <f>IF(
  ROWS($C$111:C116)&lt;= $C$110,
  $C$103 &amp; "-" &amp; C$109 &amp; ROWS($C$111:C116),
  ""
)</f>
        <v/>
      </c>
      <c r="D116" s="190" t="str">
        <f>IF(
  ROWS($D$111:D116)&lt;= $D$110,
  $C$103 &amp; "-" &amp; D$109 &amp; ROWS($D$111:D116),
  ""
)</f>
        <v/>
      </c>
      <c r="E116" s="190" t="str">
        <f>IF(
  ROWS($E$111:E116)&lt;= $E$110,
  $C$103 &amp; "-" &amp; E$109 &amp; ROWS($E$111:E116),
  ""
)</f>
        <v/>
      </c>
      <c r="F116" s="190" t="str">
        <f>IF(
  ROWS($F$111:F116)&lt;= $F$110,
  $C$103 &amp; "-" &amp; F$109 &amp; ROWS($F$111:F116),
  ""
)</f>
        <v/>
      </c>
      <c r="G116" s="86"/>
      <c r="H116" s="103"/>
      <c r="I116" s="63"/>
      <c r="J116" s="63"/>
      <c r="K116" s="64"/>
      <c r="L116" s="63"/>
      <c r="M116" s="63"/>
      <c r="N116" s="63"/>
      <c r="O116" s="63"/>
      <c r="P116" s="63"/>
      <c r="Q116" s="63"/>
      <c r="R116" s="63"/>
      <c r="S116" s="65"/>
      <c r="T116" s="65"/>
      <c r="U116" s="65"/>
      <c r="V116" s="65"/>
      <c r="W116" s="65"/>
      <c r="X116" s="63"/>
      <c r="Y116" s="63"/>
    </row>
    <row r="117" spans="1:25" x14ac:dyDescent="0.35">
      <c r="A117" s="102"/>
      <c r="B117" s="84" t="s">
        <v>119</v>
      </c>
      <c r="C117" s="23">
        <v>4</v>
      </c>
      <c r="D117" s="85"/>
      <c r="E117" s="85"/>
      <c r="F117" s="85"/>
      <c r="G117" s="86"/>
      <c r="H117" s="103"/>
      <c r="I117" s="63"/>
      <c r="J117" s="63"/>
      <c r="K117" s="64"/>
      <c r="L117" s="63"/>
      <c r="M117" s="63"/>
      <c r="N117" s="63"/>
      <c r="O117" s="63"/>
      <c r="P117" s="63"/>
      <c r="Q117" s="63"/>
      <c r="R117" s="63"/>
      <c r="S117" s="65"/>
      <c r="T117" s="65"/>
      <c r="U117" s="65"/>
      <c r="V117" s="65"/>
      <c r="W117" s="65"/>
      <c r="X117" s="63"/>
      <c r="Y117" s="63"/>
    </row>
    <row r="118" spans="1:25" x14ac:dyDescent="0.35">
      <c r="A118" s="102"/>
      <c r="B118" s="84" t="s">
        <v>120</v>
      </c>
      <c r="C118" s="19" t="b">
        <f>IF(OR(C104="WTI", C104="LDC"),FALSE,TRUE)</f>
        <v>0</v>
      </c>
      <c r="D118" s="21" t="s">
        <v>141</v>
      </c>
      <c r="E118" s="85"/>
      <c r="F118" s="85"/>
      <c r="G118" s="86"/>
      <c r="H118" s="103"/>
      <c r="I118" s="63"/>
      <c r="J118" s="63"/>
      <c r="K118" s="64"/>
      <c r="L118" s="63"/>
      <c r="M118" s="63"/>
      <c r="N118" s="63"/>
      <c r="O118" s="63"/>
      <c r="P118" s="63"/>
      <c r="Q118" s="63"/>
      <c r="R118" s="63"/>
      <c r="S118" s="65"/>
      <c r="T118" s="65"/>
      <c r="U118" s="65"/>
      <c r="V118" s="65"/>
      <c r="W118" s="65"/>
      <c r="X118" s="63"/>
      <c r="Y118" s="63"/>
    </row>
    <row r="119" spans="1:25" x14ac:dyDescent="0.35">
      <c r="A119" s="102"/>
      <c r="B119" s="84" t="s">
        <v>121</v>
      </c>
      <c r="C119" s="19" t="b">
        <f>IF(OR(C104="WTI", C104="LDC"),FALSE,TRUE)</f>
        <v>0</v>
      </c>
      <c r="D119" s="21" t="s">
        <v>141</v>
      </c>
      <c r="E119" s="85"/>
      <c r="F119" s="85"/>
      <c r="G119" s="86"/>
      <c r="H119" s="103"/>
      <c r="I119" s="63"/>
      <c r="J119" s="63"/>
      <c r="K119" s="64"/>
      <c r="L119" s="63"/>
      <c r="M119" s="63"/>
      <c r="N119" s="63"/>
      <c r="O119" s="63"/>
      <c r="P119" s="63"/>
      <c r="Q119" s="63"/>
      <c r="R119" s="63"/>
      <c r="S119" s="65"/>
      <c r="T119" s="65"/>
      <c r="U119" s="65"/>
      <c r="V119" s="65"/>
      <c r="W119" s="65"/>
      <c r="X119" s="63"/>
      <c r="Y119" s="63"/>
    </row>
    <row r="120" spans="1:25" x14ac:dyDescent="0.35">
      <c r="A120" s="102"/>
      <c r="B120" s="84" t="str">
        <f>IF(C118=TRUE, "Ratio Type", "")</f>
        <v/>
      </c>
      <c r="C120" s="14" t="s">
        <v>29</v>
      </c>
      <c r="D120" s="85"/>
      <c r="E120" s="85"/>
      <c r="F120" s="85"/>
      <c r="G120" s="86"/>
      <c r="H120" s="103"/>
      <c r="I120" s="63"/>
      <c r="J120" s="63"/>
      <c r="K120" s="64"/>
      <c r="L120" s="63"/>
      <c r="M120" s="63"/>
      <c r="N120" s="63"/>
      <c r="O120" s="63"/>
      <c r="P120" s="63"/>
      <c r="Q120" s="63"/>
      <c r="R120" s="63"/>
      <c r="S120" s="65"/>
      <c r="T120" s="65"/>
      <c r="U120" s="65"/>
      <c r="V120" s="65"/>
      <c r="W120" s="65"/>
      <c r="X120" s="63"/>
      <c r="Y120" s="63"/>
    </row>
    <row r="121" spans="1:25" x14ac:dyDescent="0.35">
      <c r="A121" s="102"/>
      <c r="B121" s="89" t="s">
        <v>91</v>
      </c>
      <c r="C121" s="20">
        <v>2</v>
      </c>
      <c r="D121" s="85"/>
      <c r="E121" s="85"/>
      <c r="F121" s="85"/>
      <c r="G121" s="86"/>
      <c r="H121" s="103"/>
      <c r="I121" s="63"/>
      <c r="J121" s="63"/>
      <c r="K121" s="64"/>
      <c r="L121" s="63"/>
      <c r="M121" s="63"/>
      <c r="N121" s="63"/>
      <c r="O121" s="63"/>
      <c r="P121" s="63"/>
      <c r="Q121" s="63"/>
      <c r="R121" s="63"/>
      <c r="S121" s="65"/>
      <c r="T121" s="65"/>
      <c r="U121" s="65"/>
      <c r="V121" s="65"/>
      <c r="W121" s="65"/>
      <c r="X121" s="63"/>
      <c r="Y121" s="63"/>
    </row>
    <row r="122" spans="1:25" x14ac:dyDescent="0.35">
      <c r="A122" s="102"/>
      <c r="B122" s="233" t="s">
        <v>96</v>
      </c>
      <c r="C122" s="234" t="s">
        <v>103</v>
      </c>
      <c r="D122" s="234"/>
      <c r="E122" s="234"/>
      <c r="F122" s="234"/>
      <c r="G122" s="86"/>
      <c r="H122" s="103"/>
      <c r="I122" s="63"/>
      <c r="J122" s="63"/>
      <c r="K122" s="64"/>
      <c r="L122" s="63"/>
      <c r="M122" s="63"/>
      <c r="N122" s="63"/>
      <c r="O122" s="63"/>
      <c r="P122" s="63"/>
      <c r="Q122" s="63"/>
      <c r="R122" s="63"/>
      <c r="S122" s="65"/>
      <c r="T122" s="65"/>
      <c r="U122" s="65"/>
      <c r="V122" s="65"/>
      <c r="W122" s="65"/>
      <c r="X122" s="63"/>
      <c r="Y122" s="63"/>
    </row>
    <row r="123" spans="1:25" x14ac:dyDescent="0.35">
      <c r="A123" s="102"/>
      <c r="B123" s="233"/>
      <c r="C123" s="234"/>
      <c r="D123" s="234"/>
      <c r="E123" s="234"/>
      <c r="F123" s="234"/>
      <c r="G123" s="86"/>
      <c r="H123" s="103"/>
      <c r="I123" s="63"/>
      <c r="J123" s="63"/>
      <c r="K123" s="64"/>
      <c r="L123" s="63"/>
      <c r="M123" s="63"/>
      <c r="N123" s="63"/>
      <c r="O123" s="63"/>
      <c r="P123" s="63"/>
      <c r="Q123" s="63"/>
      <c r="R123" s="63"/>
      <c r="S123" s="65"/>
      <c r="T123" s="65"/>
      <c r="U123" s="65"/>
      <c r="V123" s="65"/>
      <c r="W123" s="65"/>
      <c r="X123" s="63"/>
      <c r="Y123" s="63"/>
    </row>
    <row r="124" spans="1:25" x14ac:dyDescent="0.35">
      <c r="A124" s="102"/>
      <c r="B124" s="90"/>
      <c r="C124" s="85"/>
      <c r="D124" s="85"/>
      <c r="E124" s="85"/>
      <c r="F124" s="85"/>
      <c r="G124" s="86"/>
      <c r="H124" s="103"/>
      <c r="I124" s="63"/>
      <c r="J124" s="63"/>
      <c r="K124" s="64"/>
      <c r="L124" s="63"/>
      <c r="M124" s="63"/>
      <c r="N124" s="63"/>
      <c r="O124" s="63"/>
      <c r="P124" s="63"/>
      <c r="Q124" s="63"/>
      <c r="R124" s="63"/>
      <c r="S124" s="65"/>
      <c r="T124" s="65"/>
      <c r="U124" s="65"/>
      <c r="V124" s="65"/>
      <c r="W124" s="65"/>
      <c r="X124" s="63"/>
      <c r="Y124" s="63"/>
    </row>
    <row r="125" spans="1:25" ht="13.5" thickBot="1" x14ac:dyDescent="0.4">
      <c r="A125" s="102"/>
      <c r="B125" s="91"/>
      <c r="C125" s="92"/>
      <c r="D125" s="92"/>
      <c r="E125" s="92"/>
      <c r="F125" s="92"/>
      <c r="G125" s="98"/>
      <c r="H125" s="103"/>
      <c r="I125" s="63"/>
      <c r="J125" s="63"/>
      <c r="K125" s="64"/>
      <c r="L125" s="63"/>
      <c r="M125" s="63"/>
      <c r="N125" s="63"/>
      <c r="O125" s="63"/>
      <c r="P125" s="63"/>
      <c r="Q125" s="63"/>
      <c r="R125" s="63"/>
      <c r="S125" s="65"/>
      <c r="T125" s="65"/>
      <c r="U125" s="65"/>
      <c r="V125" s="65"/>
      <c r="W125" s="65"/>
      <c r="X125" s="63"/>
      <c r="Y125" s="63"/>
    </row>
    <row r="126" spans="1:25" x14ac:dyDescent="0.35">
      <c r="A126" s="102"/>
      <c r="B126" s="102"/>
      <c r="C126" s="103"/>
      <c r="D126" s="103"/>
      <c r="E126" s="103"/>
      <c r="F126" s="103"/>
      <c r="G126" s="102"/>
      <c r="H126" s="103"/>
      <c r="I126" s="63"/>
      <c r="J126" s="63"/>
      <c r="K126" s="64"/>
      <c r="L126" s="63"/>
      <c r="M126" s="63"/>
      <c r="N126" s="63"/>
      <c r="O126" s="63"/>
      <c r="P126" s="63"/>
      <c r="Q126" s="63"/>
      <c r="R126" s="63"/>
      <c r="S126" s="65"/>
      <c r="T126" s="65"/>
      <c r="U126" s="65"/>
      <c r="V126" s="65"/>
      <c r="W126" s="65"/>
      <c r="X126" s="63"/>
      <c r="Y126" s="63"/>
    </row>
    <row r="127" spans="1:25" hidden="1" x14ac:dyDescent="0.35">
      <c r="I127" s="63"/>
      <c r="J127" s="63"/>
      <c r="K127" s="64"/>
      <c r="L127" s="63"/>
      <c r="M127" s="63"/>
      <c r="N127" s="63"/>
      <c r="O127" s="63"/>
      <c r="P127" s="63"/>
      <c r="Q127" s="63"/>
      <c r="R127" s="63"/>
      <c r="S127" s="65"/>
      <c r="T127" s="65"/>
      <c r="U127" s="65"/>
      <c r="V127" s="65"/>
      <c r="W127" s="65"/>
      <c r="X127" s="63"/>
      <c r="Y127" s="63"/>
    </row>
    <row r="128" spans="1:25" hidden="1" x14ac:dyDescent="0.35">
      <c r="I128" s="63"/>
      <c r="J128" s="63"/>
      <c r="K128" s="64"/>
      <c r="L128" s="63"/>
      <c r="M128" s="63"/>
      <c r="N128" s="63"/>
      <c r="O128" s="63"/>
      <c r="P128" s="63"/>
      <c r="Q128" s="63"/>
      <c r="R128" s="63"/>
      <c r="S128" s="65"/>
      <c r="T128" s="65"/>
      <c r="U128" s="65"/>
      <c r="V128" s="65"/>
      <c r="W128" s="65"/>
      <c r="X128" s="63"/>
      <c r="Y128" s="63"/>
    </row>
    <row r="129" spans="9:25" hidden="1" x14ac:dyDescent="0.35">
      <c r="I129" s="63"/>
      <c r="J129" s="63"/>
      <c r="K129" s="64"/>
      <c r="L129" s="63"/>
      <c r="M129" s="63"/>
      <c r="N129" s="63"/>
      <c r="O129" s="63"/>
      <c r="P129" s="63"/>
      <c r="Q129" s="63"/>
      <c r="R129" s="63"/>
      <c r="S129" s="65"/>
      <c r="T129" s="65"/>
      <c r="U129" s="65"/>
      <c r="V129" s="65"/>
      <c r="W129" s="65"/>
      <c r="X129" s="63"/>
      <c r="Y129" s="63"/>
    </row>
    <row r="130" spans="9:25" hidden="1" x14ac:dyDescent="0.35">
      <c r="I130" s="63"/>
      <c r="J130" s="63"/>
      <c r="K130" s="64"/>
      <c r="L130" s="63"/>
      <c r="M130" s="63"/>
      <c r="N130" s="63"/>
      <c r="O130" s="63"/>
      <c r="P130" s="63"/>
      <c r="Q130" s="63"/>
      <c r="R130" s="63"/>
      <c r="S130" s="65"/>
      <c r="T130" s="65"/>
      <c r="U130" s="65"/>
      <c r="V130" s="65"/>
      <c r="W130" s="65"/>
      <c r="X130" s="63"/>
      <c r="Y130" s="63"/>
    </row>
    <row r="131" spans="9:25" hidden="1" x14ac:dyDescent="0.35">
      <c r="I131" s="63"/>
      <c r="J131" s="63"/>
      <c r="K131" s="64"/>
      <c r="L131" s="63"/>
      <c r="M131" s="63"/>
      <c r="N131" s="63"/>
      <c r="O131" s="63"/>
      <c r="P131" s="63"/>
      <c r="Q131" s="63"/>
      <c r="R131" s="63"/>
      <c r="S131" s="65"/>
      <c r="T131" s="65"/>
      <c r="U131" s="65"/>
      <c r="V131" s="65"/>
      <c r="W131" s="65"/>
      <c r="X131" s="63"/>
      <c r="Y131" s="63"/>
    </row>
    <row r="132" spans="9:25" hidden="1" x14ac:dyDescent="0.35">
      <c r="I132" s="63"/>
      <c r="J132" s="63"/>
      <c r="K132" s="64"/>
      <c r="L132" s="63"/>
      <c r="M132" s="63"/>
      <c r="N132" s="63"/>
      <c r="O132" s="63"/>
      <c r="P132" s="63"/>
      <c r="Q132" s="63"/>
      <c r="R132" s="63"/>
      <c r="S132" s="65"/>
      <c r="T132" s="65"/>
      <c r="U132" s="65"/>
      <c r="V132" s="65"/>
      <c r="W132" s="65"/>
      <c r="X132" s="63"/>
      <c r="Y132" s="63"/>
    </row>
    <row r="133" spans="9:25" hidden="1" x14ac:dyDescent="0.35">
      <c r="I133" s="63"/>
      <c r="J133" s="63"/>
      <c r="K133" s="64"/>
      <c r="L133" s="63"/>
      <c r="M133" s="63"/>
      <c r="N133" s="63"/>
      <c r="O133" s="63"/>
      <c r="P133" s="63"/>
      <c r="Q133" s="63"/>
      <c r="R133" s="63"/>
      <c r="S133" s="65"/>
      <c r="T133" s="65"/>
      <c r="U133" s="65"/>
      <c r="V133" s="65"/>
      <c r="W133" s="65"/>
      <c r="X133" s="63"/>
      <c r="Y133" s="63"/>
    </row>
    <row r="134" spans="9:25" hidden="1" x14ac:dyDescent="0.35">
      <c r="I134" s="63"/>
      <c r="J134" s="63"/>
      <c r="K134" s="64"/>
      <c r="L134" s="63"/>
      <c r="M134" s="63"/>
      <c r="N134" s="63"/>
      <c r="O134" s="63"/>
      <c r="P134" s="63"/>
      <c r="Q134" s="63"/>
      <c r="R134" s="63"/>
      <c r="S134" s="65"/>
      <c r="T134" s="65"/>
      <c r="U134" s="65"/>
      <c r="V134" s="65"/>
      <c r="W134" s="65"/>
      <c r="X134" s="63"/>
      <c r="Y134" s="63"/>
    </row>
    <row r="135" spans="9:25" hidden="1" x14ac:dyDescent="0.35">
      <c r="I135" s="63"/>
      <c r="J135" s="63"/>
      <c r="K135" s="64"/>
      <c r="L135" s="63"/>
      <c r="M135" s="63"/>
      <c r="N135" s="63"/>
      <c r="O135" s="63"/>
      <c r="P135" s="63"/>
      <c r="Q135" s="63"/>
      <c r="R135" s="63"/>
      <c r="S135" s="65"/>
      <c r="T135" s="65"/>
      <c r="U135" s="65"/>
      <c r="V135" s="65"/>
      <c r="W135" s="65"/>
      <c r="X135" s="63"/>
      <c r="Y135" s="63"/>
    </row>
    <row r="136" spans="9:25" hidden="1" x14ac:dyDescent="0.35">
      <c r="I136" s="63"/>
      <c r="J136" s="63"/>
      <c r="K136" s="64"/>
      <c r="L136" s="63"/>
      <c r="M136" s="63"/>
      <c r="N136" s="63"/>
      <c r="O136" s="63"/>
      <c r="P136" s="63"/>
      <c r="Q136" s="63"/>
      <c r="R136" s="63"/>
      <c r="S136" s="65"/>
      <c r="T136" s="65"/>
      <c r="U136" s="65"/>
      <c r="V136" s="65"/>
      <c r="W136" s="65"/>
      <c r="X136" s="63"/>
      <c r="Y136" s="63"/>
    </row>
    <row r="137" spans="9:25" hidden="1" x14ac:dyDescent="0.35">
      <c r="I137" s="63"/>
      <c r="J137" s="63"/>
      <c r="K137" s="64"/>
      <c r="L137" s="63"/>
      <c r="M137" s="63"/>
      <c r="N137" s="63"/>
      <c r="O137" s="63"/>
      <c r="P137" s="63"/>
      <c r="Q137" s="63"/>
      <c r="R137" s="63"/>
      <c r="S137" s="65"/>
      <c r="T137" s="65"/>
      <c r="U137" s="65"/>
      <c r="V137" s="65"/>
      <c r="W137" s="65"/>
      <c r="X137" s="63"/>
      <c r="Y137" s="63"/>
    </row>
    <row r="138" spans="9:25" hidden="1" x14ac:dyDescent="0.35">
      <c r="I138" s="63"/>
      <c r="J138" s="63"/>
      <c r="K138" s="64"/>
      <c r="L138" s="63"/>
      <c r="M138" s="63"/>
      <c r="N138" s="63"/>
      <c r="O138" s="63"/>
      <c r="P138" s="63"/>
      <c r="Q138" s="63"/>
      <c r="R138" s="63"/>
      <c r="S138" s="65"/>
      <c r="T138" s="65"/>
      <c r="U138" s="65"/>
      <c r="V138" s="65"/>
      <c r="W138" s="65"/>
      <c r="X138" s="63"/>
      <c r="Y138" s="63"/>
    </row>
    <row r="139" spans="9:25" hidden="1" x14ac:dyDescent="0.35">
      <c r="I139" s="63"/>
      <c r="J139" s="63"/>
      <c r="K139" s="64"/>
      <c r="L139" s="63"/>
      <c r="M139" s="63"/>
      <c r="N139" s="63"/>
      <c r="O139" s="63"/>
      <c r="P139" s="63"/>
      <c r="Q139" s="63"/>
      <c r="R139" s="63"/>
      <c r="S139" s="65"/>
      <c r="T139" s="65"/>
      <c r="U139" s="65"/>
      <c r="V139" s="65"/>
      <c r="W139" s="65"/>
      <c r="X139" s="63"/>
      <c r="Y139" s="63"/>
    </row>
    <row r="140" spans="9:25" hidden="1" x14ac:dyDescent="0.35">
      <c r="I140" s="63"/>
      <c r="J140" s="63"/>
      <c r="K140" s="64"/>
      <c r="L140" s="63"/>
      <c r="M140" s="63"/>
      <c r="N140" s="63"/>
      <c r="O140" s="63"/>
      <c r="P140" s="63"/>
      <c r="Q140" s="63"/>
      <c r="R140" s="63"/>
      <c r="S140" s="65"/>
      <c r="T140" s="65"/>
      <c r="U140" s="65"/>
      <c r="V140" s="65"/>
      <c r="W140" s="65"/>
      <c r="X140" s="63"/>
      <c r="Y140" s="63"/>
    </row>
    <row r="141" spans="9:25" hidden="1" x14ac:dyDescent="0.35">
      <c r="I141" s="63"/>
      <c r="J141" s="63"/>
      <c r="K141" s="64"/>
      <c r="L141" s="63"/>
      <c r="M141" s="63"/>
      <c r="N141" s="63"/>
      <c r="O141" s="63"/>
      <c r="P141" s="63"/>
      <c r="Q141" s="63"/>
      <c r="R141" s="63"/>
      <c r="S141" s="65"/>
      <c r="T141" s="65"/>
      <c r="U141" s="65"/>
      <c r="V141" s="65"/>
      <c r="W141" s="65"/>
      <c r="X141" s="63"/>
      <c r="Y141" s="63"/>
    </row>
    <row r="142" spans="9:25" hidden="1" x14ac:dyDescent="0.35">
      <c r="I142" s="63"/>
      <c r="J142" s="63"/>
      <c r="K142" s="64"/>
      <c r="L142" s="63"/>
      <c r="M142" s="63"/>
      <c r="N142" s="63"/>
      <c r="O142" s="63"/>
      <c r="P142" s="63"/>
      <c r="Q142" s="63"/>
      <c r="R142" s="63"/>
      <c r="S142" s="65"/>
      <c r="T142" s="65"/>
      <c r="U142" s="65"/>
      <c r="V142" s="65"/>
      <c r="W142" s="65"/>
      <c r="X142" s="63"/>
      <c r="Y142" s="63"/>
    </row>
    <row r="143" spans="9:25" hidden="1" x14ac:dyDescent="0.35">
      <c r="I143" s="63"/>
      <c r="J143" s="63"/>
      <c r="K143" s="64"/>
      <c r="L143" s="63"/>
      <c r="M143" s="63"/>
      <c r="N143" s="63"/>
      <c r="O143" s="63"/>
      <c r="P143" s="63"/>
      <c r="Q143" s="63"/>
      <c r="R143" s="63"/>
      <c r="S143" s="65"/>
      <c r="T143" s="65"/>
      <c r="U143" s="65"/>
      <c r="V143" s="65"/>
      <c r="W143" s="65"/>
      <c r="X143" s="63"/>
      <c r="Y143" s="63"/>
    </row>
    <row r="144" spans="9:25" hidden="1" x14ac:dyDescent="0.35">
      <c r="I144" s="63"/>
      <c r="J144" s="63"/>
      <c r="K144" s="64"/>
      <c r="L144" s="63"/>
      <c r="M144" s="63"/>
      <c r="N144" s="63"/>
      <c r="O144" s="63"/>
      <c r="P144" s="63"/>
      <c r="Q144" s="63"/>
      <c r="R144" s="63"/>
      <c r="S144" s="65"/>
      <c r="T144" s="65"/>
      <c r="U144" s="65"/>
      <c r="V144" s="65"/>
      <c r="W144" s="65"/>
      <c r="X144" s="63"/>
      <c r="Y144" s="63"/>
    </row>
    <row r="145" spans="8:25" hidden="1" x14ac:dyDescent="0.35">
      <c r="I145" s="63"/>
      <c r="J145" s="63"/>
      <c r="K145" s="64"/>
      <c r="L145" s="63"/>
      <c r="M145" s="63"/>
      <c r="N145" s="63"/>
      <c r="O145" s="63"/>
      <c r="P145" s="63"/>
      <c r="Q145" s="63"/>
      <c r="R145" s="63"/>
      <c r="S145" s="65"/>
      <c r="T145" s="65"/>
      <c r="U145" s="65"/>
      <c r="V145" s="65"/>
      <c r="W145" s="65"/>
      <c r="X145" s="63"/>
      <c r="Y145" s="63"/>
    </row>
    <row r="146" spans="8:25" hidden="1" x14ac:dyDescent="0.35">
      <c r="I146" s="63"/>
      <c r="J146" s="63"/>
      <c r="K146" s="64"/>
      <c r="L146" s="63"/>
      <c r="M146" s="63"/>
      <c r="N146" s="63"/>
      <c r="O146" s="63"/>
      <c r="P146" s="63"/>
      <c r="Q146" s="63"/>
      <c r="R146" s="63"/>
      <c r="S146" s="65"/>
      <c r="T146" s="65"/>
      <c r="U146" s="65"/>
      <c r="V146" s="65"/>
      <c r="W146" s="65"/>
      <c r="X146" s="63"/>
      <c r="Y146" s="63"/>
    </row>
    <row r="147" spans="8:25" hidden="1" x14ac:dyDescent="0.35">
      <c r="I147" s="63"/>
      <c r="J147" s="63"/>
      <c r="K147" s="64"/>
      <c r="L147" s="63"/>
      <c r="M147" s="63"/>
      <c r="N147" s="63"/>
      <c r="O147" s="63"/>
      <c r="P147" s="63"/>
      <c r="Q147" s="63"/>
      <c r="R147" s="63"/>
      <c r="S147" s="65"/>
      <c r="T147" s="65"/>
      <c r="U147" s="65"/>
      <c r="V147" s="65"/>
      <c r="W147" s="65"/>
      <c r="X147" s="63"/>
      <c r="Y147" s="63"/>
    </row>
    <row r="148" spans="8:25" hidden="1" x14ac:dyDescent="0.35">
      <c r="I148" s="63"/>
      <c r="J148" s="63"/>
      <c r="K148" s="64"/>
      <c r="L148" s="63"/>
      <c r="M148" s="63"/>
      <c r="N148" s="63"/>
      <c r="O148" s="63"/>
      <c r="P148" s="63"/>
      <c r="Q148" s="63"/>
      <c r="R148" s="63"/>
      <c r="S148" s="65"/>
      <c r="T148" s="65"/>
      <c r="U148" s="65"/>
      <c r="V148" s="65"/>
      <c r="W148" s="65"/>
      <c r="X148" s="63"/>
      <c r="Y148" s="63"/>
    </row>
    <row r="149" spans="8:25" hidden="1" x14ac:dyDescent="0.35">
      <c r="I149" s="63"/>
      <c r="J149" s="63"/>
      <c r="K149" s="64"/>
      <c r="L149" s="63"/>
      <c r="M149" s="63"/>
      <c r="N149" s="63"/>
      <c r="O149" s="63"/>
      <c r="P149" s="63"/>
      <c r="Q149" s="63"/>
      <c r="R149" s="63"/>
      <c r="S149" s="65"/>
      <c r="T149" s="65"/>
      <c r="U149" s="65"/>
      <c r="V149" s="65"/>
      <c r="W149" s="65"/>
      <c r="X149" s="63"/>
      <c r="Y149" s="63"/>
    </row>
    <row r="150" spans="8:25" hidden="1" x14ac:dyDescent="0.35">
      <c r="I150" s="63"/>
      <c r="J150" s="63"/>
      <c r="K150" s="64"/>
      <c r="L150" s="63"/>
      <c r="M150" s="63"/>
      <c r="N150" s="63"/>
      <c r="O150" s="63"/>
      <c r="P150" s="63"/>
      <c r="Q150" s="63"/>
      <c r="R150" s="63"/>
      <c r="S150" s="65"/>
      <c r="T150" s="65"/>
      <c r="U150" s="65"/>
      <c r="V150" s="65"/>
      <c r="W150" s="65"/>
      <c r="X150" s="63"/>
      <c r="Y150" s="63"/>
    </row>
    <row r="151" spans="8:25" hidden="1" x14ac:dyDescent="0.35">
      <c r="I151" s="63"/>
      <c r="J151" s="63"/>
      <c r="K151" s="64"/>
      <c r="L151" s="63"/>
      <c r="M151" s="63"/>
      <c r="N151" s="63"/>
      <c r="O151" s="63"/>
      <c r="P151" s="63"/>
      <c r="Q151" s="63"/>
      <c r="R151" s="63"/>
      <c r="S151" s="65"/>
      <c r="T151" s="65"/>
      <c r="U151" s="65"/>
      <c r="V151" s="65"/>
      <c r="W151" s="65"/>
      <c r="X151" s="63"/>
      <c r="Y151" s="63"/>
    </row>
    <row r="152" spans="8:25" hidden="1" x14ac:dyDescent="0.35">
      <c r="I152" s="63"/>
      <c r="J152" s="63"/>
      <c r="K152" s="64"/>
      <c r="L152" s="63"/>
      <c r="M152" s="63"/>
      <c r="N152" s="63"/>
      <c r="O152" s="63"/>
      <c r="P152" s="63"/>
      <c r="Q152" s="63"/>
      <c r="R152" s="63"/>
      <c r="S152" s="65"/>
      <c r="T152" s="65"/>
      <c r="U152" s="65"/>
      <c r="V152" s="65"/>
      <c r="W152" s="65"/>
      <c r="X152" s="63"/>
      <c r="Y152" s="63"/>
    </row>
    <row r="153" spans="8:25" hidden="1" x14ac:dyDescent="0.35">
      <c r="I153" s="63"/>
      <c r="J153" s="63"/>
      <c r="K153" s="64"/>
      <c r="L153" s="63"/>
      <c r="M153" s="63"/>
      <c r="N153" s="63"/>
      <c r="O153" s="63"/>
      <c r="P153" s="63"/>
      <c r="Q153" s="63"/>
      <c r="R153" s="63"/>
      <c r="S153" s="65"/>
      <c r="T153" s="65"/>
      <c r="U153" s="65"/>
      <c r="V153" s="65"/>
      <c r="W153" s="65"/>
      <c r="X153" s="63"/>
      <c r="Y153" s="63"/>
    </row>
    <row r="154" spans="8:25" hidden="1" x14ac:dyDescent="0.35">
      <c r="H154" s="9"/>
      <c r="I154" s="63"/>
      <c r="J154" s="63"/>
      <c r="K154" s="64"/>
      <c r="L154" s="63"/>
      <c r="M154" s="63"/>
      <c r="N154" s="63"/>
      <c r="O154" s="63"/>
      <c r="P154" s="63"/>
      <c r="Q154" s="63"/>
      <c r="R154" s="63"/>
      <c r="S154" s="65"/>
      <c r="T154" s="65"/>
      <c r="U154" s="65"/>
      <c r="V154" s="65"/>
      <c r="W154" s="65"/>
      <c r="X154" s="63"/>
      <c r="Y154" s="63"/>
    </row>
    <row r="155" spans="8:25" hidden="1" x14ac:dyDescent="0.35">
      <c r="H155" s="9"/>
      <c r="I155" s="63"/>
      <c r="J155" s="63"/>
      <c r="K155" s="64"/>
      <c r="L155" s="63"/>
      <c r="M155" s="63"/>
      <c r="N155" s="63"/>
      <c r="O155" s="63"/>
      <c r="P155" s="63"/>
      <c r="Q155" s="63"/>
      <c r="R155" s="63"/>
      <c r="S155" s="65"/>
      <c r="T155" s="65"/>
      <c r="U155" s="65"/>
      <c r="V155" s="65"/>
      <c r="W155" s="65"/>
      <c r="X155" s="63"/>
      <c r="Y155" s="63"/>
    </row>
    <row r="156" spans="8:25" hidden="1" x14ac:dyDescent="0.35">
      <c r="I156" s="63"/>
      <c r="J156" s="63"/>
      <c r="K156" s="64"/>
      <c r="L156" s="63"/>
      <c r="M156" s="63"/>
      <c r="N156" s="63"/>
      <c r="O156" s="63"/>
      <c r="P156" s="63"/>
      <c r="Q156" s="63"/>
      <c r="R156" s="63"/>
      <c r="S156" s="65"/>
      <c r="T156" s="65"/>
      <c r="U156" s="65"/>
      <c r="V156" s="65"/>
      <c r="W156" s="65"/>
      <c r="X156" s="63"/>
      <c r="Y156" s="63"/>
    </row>
    <row r="157" spans="8:25" hidden="1" x14ac:dyDescent="0.35">
      <c r="I157" s="63"/>
      <c r="J157" s="63"/>
      <c r="K157" s="64"/>
      <c r="L157" s="63"/>
      <c r="M157" s="63"/>
      <c r="N157" s="63"/>
      <c r="O157" s="63"/>
      <c r="P157" s="63"/>
      <c r="Q157" s="63"/>
      <c r="R157" s="63"/>
      <c r="S157" s="65"/>
      <c r="T157" s="65"/>
      <c r="U157" s="65"/>
      <c r="V157" s="65"/>
      <c r="W157" s="65"/>
      <c r="X157" s="63"/>
      <c r="Y157" s="63"/>
    </row>
    <row r="158" spans="8:25" hidden="1" x14ac:dyDescent="0.35">
      <c r="I158" s="63"/>
      <c r="J158" s="63"/>
      <c r="K158" s="64"/>
      <c r="L158" s="63"/>
      <c r="M158" s="63"/>
      <c r="N158" s="63"/>
      <c r="O158" s="63"/>
      <c r="P158" s="63"/>
      <c r="Q158" s="63"/>
      <c r="R158" s="63"/>
      <c r="S158" s="65"/>
      <c r="T158" s="65"/>
      <c r="U158" s="65"/>
      <c r="V158" s="65"/>
      <c r="W158" s="65"/>
      <c r="X158" s="63"/>
      <c r="Y158" s="63"/>
    </row>
    <row r="159" spans="8:25" hidden="1" x14ac:dyDescent="0.35">
      <c r="I159" s="63"/>
      <c r="J159" s="63"/>
      <c r="K159" s="64"/>
      <c r="L159" s="63"/>
      <c r="M159" s="63"/>
      <c r="N159" s="63"/>
      <c r="O159" s="63"/>
      <c r="P159" s="63"/>
      <c r="Q159" s="63"/>
      <c r="R159" s="63"/>
      <c r="S159" s="65"/>
      <c r="T159" s="65"/>
      <c r="U159" s="65"/>
      <c r="V159" s="65"/>
      <c r="W159" s="65"/>
      <c r="X159" s="63"/>
      <c r="Y159" s="63"/>
    </row>
    <row r="160" spans="8:25" hidden="1" x14ac:dyDescent="0.35">
      <c r="I160" s="63"/>
      <c r="J160" s="63"/>
      <c r="K160" s="64"/>
      <c r="L160" s="63"/>
      <c r="M160" s="63"/>
      <c r="N160" s="63"/>
      <c r="O160" s="63"/>
      <c r="P160" s="63"/>
      <c r="Q160" s="63"/>
      <c r="R160" s="63"/>
      <c r="S160" s="65"/>
      <c r="T160" s="65"/>
      <c r="U160" s="65"/>
      <c r="V160" s="65"/>
      <c r="W160" s="65"/>
      <c r="X160" s="63"/>
      <c r="Y160" s="63"/>
    </row>
    <row r="161" spans="9:25" hidden="1" x14ac:dyDescent="0.35">
      <c r="I161" s="63"/>
      <c r="J161" s="63"/>
      <c r="K161" s="64"/>
      <c r="L161" s="63"/>
      <c r="M161" s="63"/>
      <c r="N161" s="63"/>
      <c r="O161" s="63"/>
      <c r="P161" s="63"/>
      <c r="Q161" s="63"/>
      <c r="R161" s="63"/>
      <c r="S161" s="65"/>
      <c r="T161" s="65"/>
      <c r="U161" s="65"/>
      <c r="V161" s="65"/>
      <c r="W161" s="65"/>
      <c r="X161" s="63"/>
      <c r="Y161" s="63"/>
    </row>
    <row r="162" spans="9:25" hidden="1" x14ac:dyDescent="0.35">
      <c r="I162" s="63"/>
      <c r="J162" s="63"/>
      <c r="K162" s="64"/>
      <c r="L162" s="63"/>
      <c r="M162" s="63"/>
      <c r="N162" s="63"/>
      <c r="O162" s="63"/>
      <c r="P162" s="63"/>
      <c r="Q162" s="63"/>
      <c r="R162" s="63"/>
      <c r="S162" s="65"/>
      <c r="T162" s="65"/>
      <c r="U162" s="65"/>
      <c r="V162" s="65"/>
      <c r="W162" s="65"/>
      <c r="X162" s="63"/>
      <c r="Y162" s="63"/>
    </row>
    <row r="163" spans="9:25" hidden="1" x14ac:dyDescent="0.35">
      <c r="I163" s="63"/>
      <c r="J163" s="63"/>
      <c r="K163" s="64"/>
      <c r="L163" s="63"/>
      <c r="M163" s="63"/>
      <c r="N163" s="63"/>
      <c r="O163" s="63"/>
      <c r="P163" s="63"/>
      <c r="Q163" s="63"/>
      <c r="R163" s="63"/>
      <c r="S163" s="65"/>
      <c r="T163" s="65"/>
      <c r="U163" s="65"/>
      <c r="V163" s="65"/>
      <c r="W163" s="65"/>
      <c r="X163" s="63"/>
      <c r="Y163" s="63"/>
    </row>
    <row r="164" spans="9:25" hidden="1" x14ac:dyDescent="0.35">
      <c r="I164" s="63"/>
      <c r="J164" s="63"/>
      <c r="K164" s="64"/>
      <c r="L164" s="63"/>
      <c r="M164" s="63"/>
      <c r="N164" s="63"/>
      <c r="O164" s="63"/>
      <c r="P164" s="63"/>
      <c r="Q164" s="63"/>
      <c r="R164" s="63"/>
      <c r="S164" s="65"/>
      <c r="T164" s="65"/>
      <c r="U164" s="65"/>
      <c r="V164" s="65"/>
      <c r="W164" s="65"/>
      <c r="X164" s="63"/>
      <c r="Y164" s="63"/>
    </row>
    <row r="165" spans="9:25" hidden="1" x14ac:dyDescent="0.35">
      <c r="I165" s="63"/>
      <c r="J165" s="63"/>
      <c r="K165" s="64"/>
      <c r="L165" s="63"/>
      <c r="M165" s="63"/>
      <c r="N165" s="63"/>
      <c r="O165" s="63"/>
      <c r="P165" s="63"/>
      <c r="Q165" s="63"/>
      <c r="R165" s="63"/>
      <c r="S165" s="65"/>
      <c r="T165" s="65"/>
      <c r="U165" s="65"/>
      <c r="V165" s="65"/>
      <c r="W165" s="65"/>
      <c r="X165" s="63"/>
      <c r="Y165" s="63"/>
    </row>
    <row r="166" spans="9:25" hidden="1" x14ac:dyDescent="0.35">
      <c r="I166" s="63"/>
      <c r="J166" s="63"/>
      <c r="K166" s="64"/>
      <c r="L166" s="63"/>
      <c r="M166" s="63"/>
      <c r="N166" s="63"/>
      <c r="O166" s="63"/>
      <c r="P166" s="63"/>
      <c r="Q166" s="63"/>
      <c r="R166" s="63"/>
      <c r="S166" s="65"/>
      <c r="T166" s="65"/>
      <c r="U166" s="65"/>
      <c r="V166" s="65"/>
      <c r="W166" s="65"/>
      <c r="X166" s="63"/>
      <c r="Y166" s="63"/>
    </row>
    <row r="167" spans="9:25" hidden="1" x14ac:dyDescent="0.35">
      <c r="I167" s="63"/>
      <c r="J167" s="63"/>
      <c r="K167" s="64"/>
      <c r="L167" s="63"/>
      <c r="M167" s="63"/>
      <c r="N167" s="63"/>
      <c r="O167" s="63"/>
      <c r="P167" s="63"/>
      <c r="Q167" s="63"/>
      <c r="R167" s="63"/>
      <c r="S167" s="65"/>
      <c r="T167" s="65"/>
      <c r="U167" s="65"/>
      <c r="V167" s="65"/>
      <c r="W167" s="65"/>
      <c r="X167" s="63"/>
      <c r="Y167" s="63"/>
    </row>
    <row r="168" spans="9:25" hidden="1" x14ac:dyDescent="0.35">
      <c r="I168" s="63"/>
      <c r="J168" s="63"/>
      <c r="K168" s="64"/>
      <c r="L168" s="63"/>
      <c r="M168" s="63"/>
      <c r="N168" s="63"/>
      <c r="O168" s="63"/>
      <c r="P168" s="63"/>
      <c r="Q168" s="63"/>
      <c r="R168" s="63"/>
      <c r="S168" s="65"/>
      <c r="T168" s="65"/>
      <c r="U168" s="65"/>
      <c r="V168" s="65"/>
      <c r="W168" s="65"/>
      <c r="X168" s="63"/>
      <c r="Y168" s="63"/>
    </row>
    <row r="169" spans="9:25" hidden="1" x14ac:dyDescent="0.35">
      <c r="I169" s="63"/>
      <c r="J169" s="63"/>
      <c r="K169" s="64"/>
      <c r="L169" s="63"/>
      <c r="M169" s="63"/>
      <c r="N169" s="63"/>
      <c r="O169" s="63"/>
      <c r="P169" s="63"/>
      <c r="Q169" s="63"/>
      <c r="R169" s="63"/>
      <c r="S169" s="65"/>
      <c r="T169" s="65"/>
      <c r="U169" s="65"/>
      <c r="V169" s="65"/>
      <c r="W169" s="65"/>
      <c r="X169" s="63"/>
      <c r="Y169" s="63"/>
    </row>
    <row r="170" spans="9:25" hidden="1" x14ac:dyDescent="0.35">
      <c r="I170" s="63"/>
      <c r="J170" s="63"/>
      <c r="K170" s="64"/>
      <c r="L170" s="63"/>
      <c r="M170" s="63"/>
      <c r="N170" s="63"/>
      <c r="O170" s="63"/>
      <c r="P170" s="63"/>
      <c r="Q170" s="63"/>
      <c r="R170" s="63"/>
      <c r="S170" s="65"/>
      <c r="T170" s="65"/>
      <c r="U170" s="65"/>
      <c r="V170" s="65"/>
      <c r="W170" s="65"/>
      <c r="X170" s="63"/>
      <c r="Y170" s="63"/>
    </row>
    <row r="171" spans="9:25" hidden="1" x14ac:dyDescent="0.35">
      <c r="I171" s="63"/>
      <c r="J171" s="63"/>
      <c r="K171" s="64"/>
      <c r="L171" s="63"/>
      <c r="M171" s="63"/>
      <c r="N171" s="63"/>
      <c r="O171" s="63"/>
      <c r="P171" s="63"/>
      <c r="Q171" s="63"/>
      <c r="R171" s="63"/>
      <c r="S171" s="65"/>
      <c r="T171" s="65"/>
      <c r="U171" s="65"/>
      <c r="V171" s="65"/>
      <c r="W171" s="65"/>
      <c r="X171" s="63"/>
      <c r="Y171" s="63"/>
    </row>
    <row r="172" spans="9:25" hidden="1" x14ac:dyDescent="0.35">
      <c r="I172" s="63"/>
      <c r="J172" s="63"/>
      <c r="K172" s="64"/>
      <c r="L172" s="63"/>
      <c r="M172" s="63"/>
      <c r="N172" s="63"/>
      <c r="O172" s="63"/>
      <c r="P172" s="63"/>
      <c r="Q172" s="63"/>
      <c r="R172" s="63"/>
      <c r="S172" s="65"/>
      <c r="T172" s="65"/>
      <c r="U172" s="65"/>
      <c r="V172" s="65"/>
      <c r="W172" s="65"/>
      <c r="X172" s="63"/>
      <c r="Y172" s="63"/>
    </row>
    <row r="173" spans="9:25" hidden="1" x14ac:dyDescent="0.35">
      <c r="I173" s="63"/>
      <c r="J173" s="63"/>
      <c r="K173" s="64"/>
      <c r="L173" s="63"/>
      <c r="M173" s="63"/>
      <c r="N173" s="63"/>
      <c r="O173" s="63"/>
      <c r="P173" s="63"/>
      <c r="Q173" s="63"/>
      <c r="R173" s="63"/>
      <c r="S173" s="65"/>
      <c r="T173" s="65"/>
      <c r="U173" s="65"/>
      <c r="V173" s="65"/>
      <c r="W173" s="65"/>
      <c r="X173" s="63"/>
      <c r="Y173" s="63"/>
    </row>
    <row r="174" spans="9:25" hidden="1" x14ac:dyDescent="0.35">
      <c r="I174" s="63"/>
      <c r="J174" s="63"/>
      <c r="K174" s="64"/>
      <c r="L174" s="63"/>
      <c r="M174" s="63"/>
      <c r="N174" s="63"/>
      <c r="O174" s="63"/>
      <c r="P174" s="63"/>
      <c r="Q174" s="63"/>
      <c r="R174" s="63"/>
      <c r="S174" s="65"/>
      <c r="T174" s="65"/>
      <c r="U174" s="65"/>
      <c r="V174" s="65"/>
      <c r="W174" s="65"/>
      <c r="X174" s="63"/>
      <c r="Y174" s="63"/>
    </row>
    <row r="175" spans="9:25" hidden="1" x14ac:dyDescent="0.35">
      <c r="I175" s="63"/>
      <c r="J175" s="63"/>
      <c r="K175" s="64"/>
      <c r="L175" s="63"/>
      <c r="M175" s="63"/>
      <c r="N175" s="63"/>
      <c r="O175" s="63"/>
      <c r="P175" s="63"/>
      <c r="Q175" s="63"/>
      <c r="R175" s="63"/>
      <c r="S175" s="65"/>
      <c r="T175" s="65"/>
      <c r="U175" s="65"/>
      <c r="V175" s="65"/>
      <c r="W175" s="65"/>
      <c r="X175" s="63"/>
      <c r="Y175" s="63"/>
    </row>
    <row r="176" spans="9:25" hidden="1" x14ac:dyDescent="0.35">
      <c r="I176" s="63"/>
      <c r="J176" s="63"/>
      <c r="K176" s="64"/>
      <c r="L176" s="63"/>
      <c r="M176" s="63"/>
      <c r="N176" s="63"/>
      <c r="O176" s="63"/>
      <c r="P176" s="63"/>
      <c r="Q176" s="63"/>
      <c r="R176" s="63"/>
      <c r="S176" s="65"/>
      <c r="T176" s="65"/>
      <c r="U176" s="65"/>
      <c r="V176" s="65"/>
      <c r="W176" s="65"/>
      <c r="X176" s="63"/>
      <c r="Y176" s="63"/>
    </row>
    <row r="177" spans="9:25" hidden="1" x14ac:dyDescent="0.35">
      <c r="I177" s="63"/>
      <c r="J177" s="63"/>
      <c r="K177" s="64"/>
      <c r="L177" s="63"/>
      <c r="M177" s="63"/>
      <c r="N177" s="63"/>
      <c r="O177" s="63"/>
      <c r="P177" s="63"/>
      <c r="Q177" s="63"/>
      <c r="R177" s="63"/>
      <c r="S177" s="65"/>
      <c r="T177" s="65"/>
      <c r="U177" s="65"/>
      <c r="V177" s="65"/>
      <c r="W177" s="65"/>
      <c r="X177" s="63"/>
      <c r="Y177" s="63"/>
    </row>
    <row r="178" spans="9:25" hidden="1" x14ac:dyDescent="0.35">
      <c r="I178" s="63"/>
      <c r="J178" s="63"/>
      <c r="K178" s="64"/>
      <c r="L178" s="63"/>
      <c r="M178" s="63"/>
      <c r="N178" s="63"/>
      <c r="O178" s="63"/>
      <c r="P178" s="63"/>
      <c r="Q178" s="63"/>
      <c r="R178" s="63"/>
      <c r="S178" s="65"/>
      <c r="T178" s="65"/>
      <c r="U178" s="65"/>
      <c r="V178" s="65"/>
      <c r="W178" s="65"/>
      <c r="X178" s="63"/>
      <c r="Y178" s="63"/>
    </row>
    <row r="179" spans="9:25" hidden="1" x14ac:dyDescent="0.35">
      <c r="I179" s="63"/>
      <c r="J179" s="63"/>
      <c r="K179" s="64"/>
      <c r="L179" s="63"/>
      <c r="M179" s="63"/>
      <c r="N179" s="63"/>
      <c r="O179" s="63"/>
      <c r="P179" s="63"/>
      <c r="Q179" s="63"/>
      <c r="R179" s="63"/>
      <c r="S179" s="65"/>
      <c r="T179" s="65"/>
      <c r="U179" s="65"/>
      <c r="V179" s="65"/>
      <c r="W179" s="65"/>
      <c r="X179" s="63"/>
      <c r="Y179" s="63"/>
    </row>
    <row r="180" spans="9:25" hidden="1" x14ac:dyDescent="0.35">
      <c r="I180" s="63"/>
      <c r="J180" s="63"/>
      <c r="K180" s="64"/>
      <c r="L180" s="63"/>
      <c r="M180" s="63"/>
      <c r="N180" s="63"/>
      <c r="O180" s="63"/>
      <c r="P180" s="63"/>
      <c r="Q180" s="63"/>
      <c r="R180" s="63"/>
      <c r="S180" s="65"/>
      <c r="T180" s="65"/>
      <c r="U180" s="65"/>
      <c r="V180" s="65"/>
      <c r="W180" s="65"/>
      <c r="X180" s="63"/>
      <c r="Y180" s="63"/>
    </row>
    <row r="181" spans="9:25" hidden="1" x14ac:dyDescent="0.35">
      <c r="I181" s="63"/>
      <c r="J181" s="63"/>
      <c r="K181" s="64"/>
      <c r="L181" s="63"/>
      <c r="M181" s="63"/>
      <c r="N181" s="63"/>
      <c r="O181" s="63"/>
      <c r="P181" s="63"/>
      <c r="Q181" s="63"/>
      <c r="R181" s="63"/>
      <c r="S181" s="65"/>
      <c r="T181" s="65"/>
      <c r="U181" s="65"/>
      <c r="V181" s="65"/>
      <c r="W181" s="65"/>
      <c r="X181" s="63"/>
      <c r="Y181" s="63"/>
    </row>
    <row r="182" spans="9:25" hidden="1" x14ac:dyDescent="0.35">
      <c r="I182" s="63"/>
      <c r="J182" s="63"/>
      <c r="K182" s="64"/>
      <c r="L182" s="63"/>
      <c r="M182" s="63"/>
      <c r="N182" s="63"/>
      <c r="O182" s="63"/>
      <c r="P182" s="63"/>
      <c r="Q182" s="63"/>
      <c r="R182" s="63"/>
      <c r="S182" s="65"/>
      <c r="T182" s="65"/>
      <c r="U182" s="65"/>
      <c r="V182" s="65"/>
      <c r="W182" s="65"/>
      <c r="X182" s="63"/>
      <c r="Y182" s="63"/>
    </row>
    <row r="183" spans="9:25" hidden="1" x14ac:dyDescent="0.35">
      <c r="I183" s="63"/>
      <c r="J183" s="63"/>
      <c r="K183" s="64"/>
      <c r="L183" s="63"/>
      <c r="M183" s="63"/>
      <c r="N183" s="63"/>
      <c r="O183" s="63"/>
      <c r="P183" s="63"/>
      <c r="Q183" s="63"/>
      <c r="R183" s="63"/>
      <c r="S183" s="65"/>
      <c r="T183" s="65"/>
      <c r="U183" s="65"/>
      <c r="V183" s="65"/>
      <c r="W183" s="65"/>
      <c r="X183" s="63"/>
      <c r="Y183" s="63"/>
    </row>
    <row r="184" spans="9:25" hidden="1" x14ac:dyDescent="0.35">
      <c r="I184" s="63"/>
      <c r="J184" s="63"/>
      <c r="K184" s="64"/>
      <c r="L184" s="63"/>
      <c r="M184" s="63"/>
      <c r="N184" s="63"/>
      <c r="O184" s="63"/>
      <c r="P184" s="63"/>
      <c r="Q184" s="63"/>
      <c r="R184" s="63"/>
      <c r="S184" s="65"/>
      <c r="T184" s="65"/>
      <c r="U184" s="65"/>
      <c r="V184" s="65"/>
      <c r="W184" s="65"/>
      <c r="X184" s="63"/>
      <c r="Y184" s="63"/>
    </row>
    <row r="185" spans="9:25" hidden="1" x14ac:dyDescent="0.35">
      <c r="I185" s="63"/>
      <c r="J185" s="63"/>
      <c r="K185" s="64"/>
      <c r="L185" s="63"/>
      <c r="M185" s="63"/>
      <c r="N185" s="63"/>
      <c r="O185" s="63"/>
      <c r="P185" s="63"/>
      <c r="Q185" s="63"/>
      <c r="R185" s="63"/>
      <c r="S185" s="65"/>
      <c r="T185" s="65"/>
      <c r="U185" s="65"/>
      <c r="V185" s="65"/>
      <c r="W185" s="65"/>
      <c r="X185" s="63"/>
      <c r="Y185" s="63"/>
    </row>
    <row r="186" spans="9:25" hidden="1" x14ac:dyDescent="0.35">
      <c r="I186" s="63"/>
      <c r="J186" s="63"/>
      <c r="K186" s="64"/>
      <c r="L186" s="63"/>
      <c r="M186" s="63"/>
      <c r="N186" s="63"/>
      <c r="O186" s="63"/>
      <c r="P186" s="63"/>
      <c r="Q186" s="63"/>
      <c r="R186" s="63"/>
      <c r="S186" s="65"/>
      <c r="T186" s="65"/>
      <c r="U186" s="65"/>
      <c r="V186" s="65"/>
      <c r="W186" s="65"/>
      <c r="X186" s="63"/>
      <c r="Y186" s="63"/>
    </row>
    <row r="187" spans="9:25" hidden="1" x14ac:dyDescent="0.35">
      <c r="I187" s="63"/>
      <c r="J187" s="63"/>
      <c r="K187" s="64"/>
      <c r="L187" s="63"/>
      <c r="M187" s="63"/>
      <c r="N187" s="63"/>
      <c r="O187" s="63"/>
      <c r="P187" s="63"/>
      <c r="Q187" s="63"/>
      <c r="R187" s="63"/>
      <c r="S187" s="65"/>
      <c r="T187" s="65"/>
      <c r="U187" s="65"/>
      <c r="V187" s="65"/>
      <c r="W187" s="65"/>
      <c r="X187" s="63"/>
      <c r="Y187" s="63"/>
    </row>
    <row r="188" spans="9:25" hidden="1" x14ac:dyDescent="0.35">
      <c r="I188" s="63"/>
      <c r="J188" s="63"/>
      <c r="K188" s="64"/>
      <c r="L188" s="63"/>
      <c r="M188" s="63"/>
      <c r="N188" s="63"/>
      <c r="O188" s="63"/>
      <c r="P188" s="63"/>
      <c r="Q188" s="63"/>
      <c r="R188" s="63"/>
      <c r="S188" s="65"/>
      <c r="T188" s="65"/>
      <c r="U188" s="65"/>
      <c r="V188" s="65"/>
      <c r="W188" s="65"/>
      <c r="X188" s="63"/>
      <c r="Y188" s="63"/>
    </row>
    <row r="189" spans="9:25" hidden="1" x14ac:dyDescent="0.35">
      <c r="I189" s="63"/>
      <c r="J189" s="63"/>
      <c r="K189" s="64"/>
      <c r="L189" s="63"/>
      <c r="M189" s="63"/>
      <c r="N189" s="63"/>
      <c r="O189" s="63"/>
      <c r="P189" s="63"/>
      <c r="Q189" s="63"/>
      <c r="R189" s="63"/>
      <c r="S189" s="65"/>
      <c r="T189" s="65"/>
      <c r="U189" s="65"/>
      <c r="V189" s="65"/>
      <c r="W189" s="65"/>
      <c r="X189" s="63"/>
      <c r="Y189" s="63"/>
    </row>
    <row r="190" spans="9:25" hidden="1" x14ac:dyDescent="0.35">
      <c r="I190" s="63"/>
      <c r="J190" s="63"/>
      <c r="K190" s="64"/>
      <c r="L190" s="63"/>
      <c r="M190" s="63"/>
      <c r="N190" s="63"/>
      <c r="O190" s="63"/>
      <c r="P190" s="63"/>
      <c r="Q190" s="63"/>
      <c r="R190" s="63"/>
      <c r="S190" s="65"/>
      <c r="T190" s="65"/>
      <c r="U190" s="65"/>
      <c r="V190" s="65"/>
      <c r="W190" s="65"/>
      <c r="X190" s="63"/>
      <c r="Y190" s="63"/>
    </row>
    <row r="191" spans="9:25" hidden="1" x14ac:dyDescent="0.35">
      <c r="I191" s="63"/>
      <c r="J191" s="63"/>
      <c r="K191" s="64"/>
      <c r="L191" s="63"/>
      <c r="M191" s="63"/>
      <c r="N191" s="63"/>
      <c r="O191" s="63"/>
      <c r="P191" s="63"/>
      <c r="Q191" s="63"/>
      <c r="R191" s="63"/>
      <c r="S191" s="65"/>
      <c r="T191" s="65"/>
      <c r="U191" s="65"/>
      <c r="V191" s="65"/>
      <c r="W191" s="65"/>
      <c r="X191" s="63"/>
      <c r="Y191" s="63"/>
    </row>
    <row r="192" spans="9:25" hidden="1" x14ac:dyDescent="0.35">
      <c r="I192" s="63"/>
      <c r="J192" s="63"/>
      <c r="K192" s="64"/>
      <c r="L192" s="63"/>
      <c r="M192" s="63"/>
      <c r="N192" s="63"/>
      <c r="O192" s="63"/>
      <c r="P192" s="63"/>
      <c r="Q192" s="63"/>
      <c r="R192" s="63"/>
      <c r="S192" s="65"/>
      <c r="T192" s="65"/>
      <c r="U192" s="65"/>
      <c r="V192" s="65"/>
      <c r="W192" s="65"/>
      <c r="X192" s="63"/>
      <c r="Y192" s="63"/>
    </row>
    <row r="193" spans="9:25" hidden="1" x14ac:dyDescent="0.35">
      <c r="I193" s="63"/>
      <c r="J193" s="63"/>
      <c r="K193" s="64"/>
      <c r="L193" s="63"/>
      <c r="M193" s="63"/>
      <c r="N193" s="63"/>
      <c r="O193" s="63"/>
      <c r="P193" s="63"/>
      <c r="Q193" s="63"/>
      <c r="R193" s="63"/>
      <c r="S193" s="65"/>
      <c r="T193" s="65"/>
      <c r="U193" s="65"/>
      <c r="V193" s="65"/>
      <c r="W193" s="65"/>
      <c r="X193" s="63"/>
      <c r="Y193" s="63"/>
    </row>
    <row r="194" spans="9:25" hidden="1" x14ac:dyDescent="0.35">
      <c r="I194" s="63"/>
      <c r="J194" s="63"/>
      <c r="K194" s="64"/>
      <c r="L194" s="63"/>
      <c r="M194" s="63"/>
      <c r="N194" s="63"/>
      <c r="O194" s="63"/>
      <c r="P194" s="63"/>
      <c r="Q194" s="63"/>
      <c r="R194" s="63"/>
      <c r="S194" s="65"/>
      <c r="T194" s="65"/>
      <c r="U194" s="65"/>
      <c r="V194" s="65"/>
      <c r="W194" s="65"/>
      <c r="X194" s="63"/>
      <c r="Y194" s="63"/>
    </row>
    <row r="195" spans="9:25" hidden="1" x14ac:dyDescent="0.35">
      <c r="I195" s="63"/>
      <c r="J195" s="63"/>
      <c r="K195" s="64"/>
      <c r="L195" s="63"/>
      <c r="M195" s="63"/>
      <c r="N195" s="63"/>
      <c r="O195" s="63"/>
      <c r="P195" s="63"/>
      <c r="Q195" s="63"/>
      <c r="R195" s="63"/>
      <c r="S195" s="65"/>
      <c r="T195" s="65"/>
      <c r="U195" s="65"/>
      <c r="V195" s="65"/>
      <c r="W195" s="65"/>
      <c r="X195" s="63"/>
      <c r="Y195" s="63"/>
    </row>
    <row r="196" spans="9:25" hidden="1" x14ac:dyDescent="0.35">
      <c r="I196" s="63"/>
      <c r="J196" s="63"/>
      <c r="K196" s="64"/>
      <c r="L196" s="63"/>
      <c r="M196" s="63"/>
      <c r="N196" s="63"/>
      <c r="O196" s="63"/>
      <c r="P196" s="63"/>
      <c r="Q196" s="63"/>
      <c r="R196" s="63"/>
      <c r="S196" s="65"/>
      <c r="T196" s="65"/>
      <c r="U196" s="65"/>
      <c r="V196" s="65"/>
      <c r="W196" s="65"/>
      <c r="X196" s="63"/>
      <c r="Y196" s="63"/>
    </row>
    <row r="197" spans="9:25" hidden="1" x14ac:dyDescent="0.35">
      <c r="I197" s="63"/>
      <c r="J197" s="63"/>
      <c r="K197" s="64"/>
      <c r="L197" s="63"/>
      <c r="M197" s="63"/>
      <c r="N197" s="63"/>
      <c r="O197" s="63"/>
      <c r="P197" s="63"/>
      <c r="Q197" s="63"/>
      <c r="R197" s="63"/>
      <c r="S197" s="65"/>
      <c r="T197" s="65"/>
      <c r="U197" s="65"/>
      <c r="V197" s="65"/>
      <c r="W197" s="65"/>
      <c r="X197" s="63"/>
      <c r="Y197" s="63"/>
    </row>
    <row r="198" spans="9:25" hidden="1" x14ac:dyDescent="0.35">
      <c r="I198" s="63"/>
      <c r="J198" s="63"/>
      <c r="K198" s="64"/>
      <c r="L198" s="63"/>
      <c r="M198" s="63"/>
      <c r="N198" s="63"/>
      <c r="O198" s="63"/>
      <c r="P198" s="63"/>
      <c r="Q198" s="63"/>
      <c r="R198" s="63"/>
      <c r="S198" s="65"/>
      <c r="T198" s="65"/>
      <c r="U198" s="65"/>
      <c r="V198" s="65"/>
      <c r="W198" s="65"/>
      <c r="X198" s="63"/>
      <c r="Y198" s="63"/>
    </row>
    <row r="199" spans="9:25" hidden="1" x14ac:dyDescent="0.35">
      <c r="I199" s="63"/>
      <c r="J199" s="63"/>
      <c r="K199" s="64"/>
      <c r="L199" s="63"/>
      <c r="M199" s="63"/>
      <c r="N199" s="63"/>
      <c r="O199" s="63"/>
      <c r="P199" s="63"/>
      <c r="Q199" s="63"/>
      <c r="R199" s="63"/>
      <c r="S199" s="65"/>
      <c r="T199" s="65"/>
      <c r="U199" s="65"/>
      <c r="V199" s="65"/>
      <c r="W199" s="65"/>
      <c r="X199" s="63"/>
      <c r="Y199" s="63"/>
    </row>
    <row r="200" spans="9:25" hidden="1" x14ac:dyDescent="0.35">
      <c r="I200" s="63"/>
      <c r="J200" s="63"/>
      <c r="K200" s="64"/>
      <c r="L200" s="63"/>
      <c r="M200" s="63"/>
      <c r="N200" s="63"/>
      <c r="O200" s="63"/>
      <c r="P200" s="63"/>
      <c r="Q200" s="63"/>
      <c r="R200" s="63"/>
      <c r="S200" s="65"/>
      <c r="T200" s="65"/>
      <c r="U200" s="65"/>
      <c r="V200" s="65"/>
      <c r="W200" s="65"/>
      <c r="X200" s="63"/>
      <c r="Y200" s="63"/>
    </row>
    <row r="201" spans="9:25" hidden="1" x14ac:dyDescent="0.35">
      <c r="I201" s="63"/>
      <c r="J201" s="63"/>
      <c r="K201" s="64"/>
      <c r="L201" s="63"/>
      <c r="M201" s="63"/>
      <c r="N201" s="63"/>
      <c r="O201" s="63"/>
      <c r="P201" s="63"/>
      <c r="Q201" s="63"/>
      <c r="R201" s="63"/>
      <c r="S201" s="65"/>
      <c r="T201" s="65"/>
      <c r="U201" s="65"/>
      <c r="V201" s="65"/>
      <c r="W201" s="65"/>
      <c r="X201" s="63"/>
      <c r="Y201" s="63"/>
    </row>
    <row r="202" spans="9:25" hidden="1" x14ac:dyDescent="0.35">
      <c r="I202" s="63"/>
      <c r="J202" s="63"/>
      <c r="K202" s="64"/>
      <c r="L202" s="63"/>
      <c r="M202" s="63"/>
      <c r="N202" s="63"/>
      <c r="O202" s="63"/>
      <c r="P202" s="63"/>
      <c r="Q202" s="63"/>
      <c r="R202" s="63"/>
      <c r="S202" s="65"/>
      <c r="T202" s="65"/>
      <c r="U202" s="65"/>
      <c r="V202" s="65"/>
      <c r="W202" s="65"/>
      <c r="X202" s="63"/>
      <c r="Y202" s="63"/>
    </row>
    <row r="203" spans="9:25" hidden="1" x14ac:dyDescent="0.35">
      <c r="I203" s="63"/>
      <c r="J203" s="63"/>
      <c r="K203" s="64"/>
      <c r="L203" s="63"/>
      <c r="M203" s="63"/>
      <c r="N203" s="63"/>
      <c r="O203" s="63"/>
      <c r="P203" s="63"/>
      <c r="Q203" s="63"/>
      <c r="R203" s="63"/>
      <c r="S203" s="65"/>
      <c r="T203" s="65"/>
      <c r="U203" s="65"/>
      <c r="V203" s="65"/>
      <c r="W203" s="65"/>
      <c r="X203" s="63"/>
      <c r="Y203" s="63"/>
    </row>
    <row r="204" spans="9:25" hidden="1" x14ac:dyDescent="0.35">
      <c r="I204" s="63"/>
      <c r="J204" s="63"/>
      <c r="K204" s="64"/>
      <c r="L204" s="63"/>
      <c r="M204" s="63"/>
      <c r="N204" s="63"/>
      <c r="O204" s="63"/>
      <c r="P204" s="63"/>
      <c r="Q204" s="63"/>
      <c r="R204" s="63"/>
      <c r="S204" s="65"/>
      <c r="T204" s="65"/>
      <c r="U204" s="65"/>
      <c r="V204" s="65"/>
      <c r="W204" s="65"/>
      <c r="X204" s="63"/>
      <c r="Y204" s="63"/>
    </row>
    <row r="205" spans="9:25" hidden="1" x14ac:dyDescent="0.35">
      <c r="I205" s="63"/>
      <c r="J205" s="63"/>
      <c r="K205" s="64"/>
      <c r="L205" s="63"/>
      <c r="M205" s="63"/>
      <c r="N205" s="63"/>
      <c r="O205" s="63"/>
      <c r="P205" s="63"/>
      <c r="Q205" s="63"/>
      <c r="R205" s="63"/>
      <c r="S205" s="65"/>
      <c r="T205" s="65"/>
      <c r="U205" s="65"/>
      <c r="V205" s="65"/>
      <c r="W205" s="65"/>
      <c r="X205" s="63"/>
      <c r="Y205" s="63"/>
    </row>
    <row r="206" spans="9:25" hidden="1" x14ac:dyDescent="0.35">
      <c r="I206" s="63"/>
      <c r="J206" s="63"/>
      <c r="K206" s="64"/>
      <c r="L206" s="63"/>
      <c r="M206" s="63"/>
      <c r="N206" s="63"/>
      <c r="O206" s="63"/>
      <c r="P206" s="63"/>
      <c r="Q206" s="63"/>
      <c r="R206" s="63"/>
      <c r="S206" s="65"/>
      <c r="T206" s="65"/>
      <c r="U206" s="65"/>
      <c r="V206" s="65"/>
      <c r="W206" s="65"/>
      <c r="X206" s="63"/>
      <c r="Y206" s="63"/>
    </row>
    <row r="207" spans="9:25" hidden="1" x14ac:dyDescent="0.35">
      <c r="I207" s="63"/>
      <c r="J207" s="63"/>
      <c r="K207" s="64"/>
      <c r="L207" s="63"/>
      <c r="M207" s="63"/>
      <c r="N207" s="63"/>
      <c r="O207" s="63"/>
      <c r="P207" s="63"/>
      <c r="Q207" s="63"/>
      <c r="R207" s="63"/>
      <c r="S207" s="65"/>
      <c r="T207" s="65"/>
      <c r="U207" s="65"/>
      <c r="V207" s="65"/>
      <c r="W207" s="65"/>
      <c r="X207" s="63"/>
      <c r="Y207" s="63"/>
    </row>
    <row r="208" spans="9:25" hidden="1" x14ac:dyDescent="0.35">
      <c r="I208" s="63"/>
      <c r="J208" s="63"/>
      <c r="K208" s="64"/>
      <c r="L208" s="63"/>
      <c r="M208" s="63"/>
      <c r="N208" s="63"/>
      <c r="O208" s="63"/>
      <c r="P208" s="63"/>
      <c r="Q208" s="63"/>
      <c r="R208" s="63"/>
      <c r="S208" s="65"/>
      <c r="T208" s="65"/>
      <c r="U208" s="65"/>
      <c r="V208" s="65"/>
      <c r="W208" s="65"/>
      <c r="X208" s="63"/>
      <c r="Y208" s="63"/>
    </row>
    <row r="209" spans="9:25" hidden="1" x14ac:dyDescent="0.35">
      <c r="I209" s="63"/>
      <c r="J209" s="63"/>
      <c r="K209" s="64"/>
      <c r="L209" s="63"/>
      <c r="M209" s="63"/>
      <c r="N209" s="63"/>
      <c r="O209" s="63"/>
      <c r="P209" s="63"/>
      <c r="Q209" s="63"/>
      <c r="R209" s="63"/>
      <c r="S209" s="65"/>
      <c r="T209" s="65"/>
      <c r="U209" s="65"/>
      <c r="V209" s="65"/>
      <c r="W209" s="65"/>
      <c r="X209" s="63"/>
      <c r="Y209" s="63"/>
    </row>
    <row r="210" spans="9:25" hidden="1" x14ac:dyDescent="0.35">
      <c r="I210" s="63"/>
      <c r="J210" s="63"/>
      <c r="K210" s="64"/>
      <c r="L210" s="63"/>
      <c r="M210" s="63"/>
      <c r="N210" s="63"/>
      <c r="O210" s="63"/>
      <c r="P210" s="63"/>
      <c r="Q210" s="63"/>
      <c r="R210" s="63"/>
      <c r="S210" s="65"/>
      <c r="T210" s="65"/>
      <c r="U210" s="65"/>
      <c r="V210" s="65"/>
      <c r="W210" s="65"/>
      <c r="X210" s="63"/>
      <c r="Y210" s="63"/>
    </row>
    <row r="211" spans="9:25" hidden="1" x14ac:dyDescent="0.35">
      <c r="I211" s="63"/>
      <c r="J211" s="63"/>
      <c r="K211" s="64"/>
      <c r="L211" s="63"/>
      <c r="M211" s="63"/>
      <c r="N211" s="63"/>
      <c r="O211" s="63"/>
      <c r="P211" s="63"/>
      <c r="Q211" s="63"/>
      <c r="R211" s="63"/>
      <c r="S211" s="65"/>
      <c r="T211" s="65"/>
      <c r="U211" s="65"/>
      <c r="V211" s="65"/>
      <c r="W211" s="65"/>
      <c r="X211" s="63"/>
      <c r="Y211" s="63"/>
    </row>
    <row r="212" spans="9:25" hidden="1" x14ac:dyDescent="0.35">
      <c r="I212" s="63"/>
      <c r="J212" s="63"/>
      <c r="K212" s="64"/>
      <c r="L212" s="63"/>
      <c r="M212" s="63"/>
      <c r="N212" s="63"/>
      <c r="O212" s="63"/>
      <c r="P212" s="63"/>
      <c r="Q212" s="63"/>
      <c r="R212" s="63"/>
      <c r="S212" s="65"/>
      <c r="T212" s="65"/>
      <c r="U212" s="65"/>
      <c r="V212" s="65"/>
      <c r="W212" s="65"/>
      <c r="X212" s="63"/>
      <c r="Y212" s="63"/>
    </row>
    <row r="213" spans="9:25" hidden="1" x14ac:dyDescent="0.35">
      <c r="I213" s="63"/>
      <c r="J213" s="63"/>
      <c r="K213" s="64"/>
      <c r="L213" s="63"/>
      <c r="M213" s="63"/>
      <c r="N213" s="63"/>
      <c r="O213" s="63"/>
      <c r="P213" s="63"/>
      <c r="Q213" s="63"/>
      <c r="R213" s="63"/>
      <c r="S213" s="65"/>
      <c r="T213" s="65"/>
      <c r="U213" s="65"/>
      <c r="V213" s="65"/>
      <c r="W213" s="65"/>
      <c r="X213" s="63"/>
      <c r="Y213" s="63"/>
    </row>
    <row r="214" spans="9:25" hidden="1" x14ac:dyDescent="0.35">
      <c r="I214" s="63"/>
      <c r="J214" s="63"/>
      <c r="K214" s="64"/>
      <c r="L214" s="63"/>
      <c r="M214" s="63"/>
      <c r="N214" s="63"/>
      <c r="O214" s="63"/>
      <c r="P214" s="63"/>
      <c r="Q214" s="63"/>
      <c r="R214" s="63"/>
      <c r="S214" s="65"/>
      <c r="T214" s="65"/>
      <c r="U214" s="65"/>
      <c r="V214" s="65"/>
      <c r="W214" s="65"/>
      <c r="X214" s="63"/>
      <c r="Y214" s="63"/>
    </row>
    <row r="215" spans="9:25" hidden="1" x14ac:dyDescent="0.35">
      <c r="I215" s="63"/>
      <c r="J215" s="63"/>
      <c r="K215" s="64"/>
      <c r="L215" s="63"/>
      <c r="M215" s="63"/>
      <c r="N215" s="63"/>
      <c r="O215" s="63"/>
      <c r="P215" s="63"/>
      <c r="Q215" s="63"/>
      <c r="R215" s="63"/>
      <c r="S215" s="65"/>
      <c r="T215" s="65"/>
      <c r="U215" s="65"/>
      <c r="V215" s="65"/>
      <c r="W215" s="65"/>
      <c r="X215" s="63"/>
      <c r="Y215" s="63"/>
    </row>
    <row r="216" spans="9:25" hidden="1" x14ac:dyDescent="0.35">
      <c r="I216" s="63"/>
      <c r="J216" s="63"/>
      <c r="K216" s="64"/>
      <c r="L216" s="63"/>
      <c r="M216" s="63"/>
      <c r="N216" s="63"/>
      <c r="O216" s="63"/>
      <c r="P216" s="63"/>
      <c r="Q216" s="63"/>
      <c r="R216" s="63"/>
      <c r="S216" s="65"/>
      <c r="T216" s="65"/>
      <c r="U216" s="65"/>
      <c r="V216" s="65"/>
      <c r="W216" s="65"/>
      <c r="X216" s="63"/>
      <c r="Y216" s="63"/>
    </row>
    <row r="217" spans="9:25" hidden="1" x14ac:dyDescent="0.35">
      <c r="I217" s="63"/>
      <c r="J217" s="63"/>
      <c r="K217" s="64"/>
      <c r="L217" s="63"/>
      <c r="M217" s="63"/>
      <c r="N217" s="63"/>
      <c r="O217" s="63"/>
      <c r="P217" s="63"/>
      <c r="Q217" s="63"/>
      <c r="R217" s="63"/>
      <c r="S217" s="65"/>
      <c r="T217" s="65"/>
      <c r="U217" s="65"/>
      <c r="V217" s="65"/>
      <c r="W217" s="65"/>
      <c r="X217" s="63"/>
      <c r="Y217" s="63"/>
    </row>
    <row r="218" spans="9:25" hidden="1" x14ac:dyDescent="0.35">
      <c r="I218" s="63"/>
      <c r="J218" s="63"/>
      <c r="K218" s="64"/>
      <c r="L218" s="63"/>
      <c r="M218" s="63"/>
      <c r="N218" s="63"/>
      <c r="O218" s="63"/>
      <c r="P218" s="63"/>
      <c r="Q218" s="63"/>
      <c r="R218" s="63"/>
      <c r="S218" s="65"/>
      <c r="T218" s="65"/>
      <c r="U218" s="65"/>
      <c r="V218" s="65"/>
      <c r="W218" s="65"/>
      <c r="X218" s="63"/>
      <c r="Y218" s="63"/>
    </row>
    <row r="219" spans="9:25" hidden="1" x14ac:dyDescent="0.35">
      <c r="I219" s="63"/>
      <c r="J219" s="63"/>
      <c r="K219" s="64"/>
      <c r="L219" s="63"/>
      <c r="M219" s="63"/>
      <c r="N219" s="63"/>
      <c r="O219" s="63"/>
      <c r="P219" s="63"/>
      <c r="Q219" s="63"/>
      <c r="R219" s="63"/>
      <c r="S219" s="65"/>
      <c r="T219" s="65"/>
      <c r="U219" s="65"/>
      <c r="V219" s="65"/>
      <c r="W219" s="65"/>
      <c r="X219" s="63"/>
      <c r="Y219" s="63"/>
    </row>
    <row r="220" spans="9:25" hidden="1" x14ac:dyDescent="0.35">
      <c r="I220" s="63"/>
      <c r="J220" s="63"/>
      <c r="K220" s="64"/>
      <c r="L220" s="63"/>
      <c r="M220" s="63"/>
      <c r="N220" s="63"/>
      <c r="O220" s="63"/>
      <c r="P220" s="63"/>
      <c r="Q220" s="63"/>
      <c r="R220" s="63"/>
      <c r="S220" s="65"/>
      <c r="T220" s="65"/>
      <c r="U220" s="65"/>
      <c r="V220" s="65"/>
      <c r="W220" s="65"/>
      <c r="X220" s="63"/>
      <c r="Y220" s="63"/>
    </row>
    <row r="221" spans="9:25" hidden="1" x14ac:dyDescent="0.35">
      <c r="I221" s="63"/>
      <c r="J221" s="63"/>
      <c r="K221" s="64"/>
      <c r="L221" s="63"/>
      <c r="M221" s="63"/>
      <c r="N221" s="63"/>
      <c r="O221" s="63"/>
      <c r="P221" s="63"/>
      <c r="Q221" s="63"/>
      <c r="R221" s="63"/>
      <c r="S221" s="65"/>
      <c r="T221" s="65"/>
      <c r="U221" s="65"/>
      <c r="V221" s="65"/>
      <c r="W221" s="65"/>
      <c r="X221" s="63"/>
      <c r="Y221" s="63"/>
    </row>
    <row r="222" spans="9:25" hidden="1" x14ac:dyDescent="0.35">
      <c r="I222" s="63"/>
      <c r="J222" s="63"/>
      <c r="K222" s="64"/>
      <c r="L222" s="63"/>
      <c r="M222" s="63"/>
      <c r="N222" s="63"/>
      <c r="O222" s="63"/>
      <c r="P222" s="63"/>
      <c r="Q222" s="63"/>
      <c r="R222" s="63"/>
      <c r="S222" s="65"/>
      <c r="T222" s="65"/>
      <c r="U222" s="65"/>
      <c r="V222" s="65"/>
      <c r="W222" s="65"/>
      <c r="X222" s="63"/>
      <c r="Y222" s="63"/>
    </row>
    <row r="223" spans="9:25" hidden="1" x14ac:dyDescent="0.35">
      <c r="I223" s="63"/>
      <c r="J223" s="63"/>
      <c r="K223" s="64"/>
      <c r="L223" s="63"/>
      <c r="M223" s="63"/>
      <c r="N223" s="63"/>
      <c r="O223" s="63"/>
      <c r="P223" s="63"/>
      <c r="Q223" s="63"/>
      <c r="R223" s="63"/>
      <c r="S223" s="65"/>
      <c r="T223" s="65"/>
      <c r="U223" s="65"/>
      <c r="V223" s="65"/>
      <c r="W223" s="65"/>
      <c r="X223" s="63"/>
      <c r="Y223" s="63"/>
    </row>
    <row r="224" spans="9:25" hidden="1" x14ac:dyDescent="0.35">
      <c r="I224" s="63"/>
      <c r="J224" s="63"/>
      <c r="K224" s="64"/>
      <c r="L224" s="63"/>
      <c r="M224" s="63"/>
      <c r="N224" s="63"/>
      <c r="O224" s="63"/>
      <c r="P224" s="63"/>
      <c r="Q224" s="63"/>
      <c r="R224" s="63"/>
      <c r="S224" s="65"/>
      <c r="T224" s="65"/>
      <c r="U224" s="65"/>
      <c r="V224" s="65"/>
      <c r="W224" s="65"/>
      <c r="X224" s="63"/>
      <c r="Y224" s="63"/>
    </row>
    <row r="225" spans="1:25" hidden="1" x14ac:dyDescent="0.35">
      <c r="I225" s="63"/>
      <c r="J225" s="63"/>
      <c r="K225" s="64"/>
      <c r="L225" s="63"/>
      <c r="M225" s="63"/>
      <c r="N225" s="63"/>
      <c r="O225" s="63"/>
      <c r="P225" s="63"/>
      <c r="Q225" s="63"/>
      <c r="R225" s="63"/>
      <c r="S225" s="65"/>
      <c r="T225" s="65"/>
      <c r="U225" s="65"/>
      <c r="V225" s="65"/>
      <c r="W225" s="65"/>
      <c r="X225" s="63"/>
      <c r="Y225" s="63"/>
    </row>
    <row r="226" spans="1:25" hidden="1" x14ac:dyDescent="0.35">
      <c r="I226" s="63"/>
      <c r="J226" s="63"/>
      <c r="K226" s="64"/>
      <c r="L226" s="63"/>
      <c r="M226" s="63"/>
      <c r="N226" s="63"/>
      <c r="O226" s="63"/>
      <c r="P226" s="63"/>
      <c r="Q226" s="63"/>
      <c r="R226" s="63"/>
      <c r="S226" s="65"/>
      <c r="T226" s="65"/>
      <c r="U226" s="65"/>
      <c r="V226" s="65"/>
      <c r="W226" s="65"/>
      <c r="X226" s="63"/>
      <c r="Y226" s="63"/>
    </row>
    <row r="227" spans="1:25" hidden="1" x14ac:dyDescent="0.35">
      <c r="I227" s="63"/>
      <c r="J227" s="63"/>
      <c r="K227" s="64"/>
      <c r="L227" s="63"/>
      <c r="M227" s="63"/>
      <c r="N227" s="63"/>
      <c r="O227" s="63"/>
      <c r="P227" s="63"/>
      <c r="Q227" s="63"/>
      <c r="R227" s="63"/>
      <c r="S227" s="65"/>
      <c r="T227" s="65"/>
      <c r="U227" s="65"/>
      <c r="V227" s="65"/>
      <c r="W227" s="65"/>
      <c r="X227" s="63"/>
      <c r="Y227" s="63"/>
    </row>
    <row r="228" spans="1:25" hidden="1" x14ac:dyDescent="0.35">
      <c r="I228" s="63"/>
      <c r="J228" s="63"/>
      <c r="K228" s="64"/>
      <c r="L228" s="63"/>
      <c r="M228" s="63"/>
      <c r="N228" s="63"/>
      <c r="O228" s="63"/>
      <c r="P228" s="63"/>
      <c r="Q228" s="63"/>
      <c r="R228" s="63"/>
      <c r="S228" s="65"/>
      <c r="T228" s="65"/>
      <c r="U228" s="65"/>
      <c r="V228" s="65"/>
      <c r="W228" s="65"/>
      <c r="X228" s="63"/>
      <c r="Y228" s="63"/>
    </row>
    <row r="229" spans="1:25" hidden="1" x14ac:dyDescent="0.35">
      <c r="I229" s="63"/>
      <c r="J229" s="63"/>
      <c r="K229" s="64"/>
      <c r="L229" s="63"/>
      <c r="M229" s="63"/>
      <c r="N229" s="63"/>
      <c r="O229" s="63"/>
      <c r="P229" s="63"/>
      <c r="Q229" s="63"/>
      <c r="R229" s="63"/>
      <c r="S229" s="65"/>
      <c r="T229" s="65"/>
      <c r="U229" s="65"/>
      <c r="V229" s="65"/>
      <c r="W229" s="65"/>
      <c r="X229" s="63"/>
      <c r="Y229" s="63"/>
    </row>
    <row r="230" spans="1:25" hidden="1" x14ac:dyDescent="0.35">
      <c r="I230" s="63"/>
      <c r="J230" s="63"/>
      <c r="K230" s="64"/>
      <c r="L230" s="63"/>
      <c r="M230" s="63"/>
      <c r="N230" s="63"/>
      <c r="O230" s="63"/>
      <c r="P230" s="63"/>
      <c r="Q230" s="63"/>
      <c r="R230" s="63"/>
      <c r="S230" s="65"/>
      <c r="T230" s="65"/>
      <c r="U230" s="65"/>
      <c r="V230" s="65"/>
      <c r="W230" s="65"/>
      <c r="X230" s="63"/>
      <c r="Y230" s="63"/>
    </row>
    <row r="231" spans="1:25" hidden="1" x14ac:dyDescent="0.35">
      <c r="I231" s="63"/>
      <c r="J231" s="63"/>
      <c r="K231" s="64"/>
      <c r="L231" s="63"/>
      <c r="M231" s="63"/>
      <c r="N231" s="63"/>
      <c r="O231" s="63"/>
      <c r="P231" s="63"/>
      <c r="Q231" s="63"/>
      <c r="R231" s="63"/>
      <c r="S231" s="65"/>
      <c r="T231" s="65"/>
      <c r="U231" s="65"/>
      <c r="V231" s="65"/>
      <c r="W231" s="65"/>
      <c r="X231" s="63"/>
      <c r="Y231" s="63"/>
    </row>
    <row r="232" spans="1:25" hidden="1" x14ac:dyDescent="0.35">
      <c r="I232" s="63"/>
      <c r="J232" s="63"/>
      <c r="K232" s="64"/>
      <c r="L232" s="63"/>
      <c r="M232" s="63"/>
      <c r="N232" s="63"/>
      <c r="O232" s="63"/>
      <c r="P232" s="63"/>
      <c r="Q232" s="63"/>
      <c r="R232" s="63"/>
      <c r="S232" s="65"/>
      <c r="T232" s="65"/>
      <c r="U232" s="65"/>
      <c r="V232" s="65"/>
      <c r="W232" s="65"/>
      <c r="X232" s="63"/>
      <c r="Y232" s="63"/>
    </row>
    <row r="233" spans="1:25" hidden="1" x14ac:dyDescent="0.35">
      <c r="I233" s="63"/>
      <c r="J233" s="63"/>
      <c r="K233" s="64"/>
      <c r="L233" s="63"/>
      <c r="M233" s="63"/>
      <c r="N233" s="63"/>
      <c r="O233" s="63"/>
      <c r="P233" s="63"/>
      <c r="Q233" s="63"/>
      <c r="R233" s="63"/>
      <c r="S233" s="65"/>
      <c r="T233" s="65"/>
      <c r="U233" s="65"/>
      <c r="V233" s="65"/>
      <c r="W233" s="65"/>
      <c r="X233" s="63"/>
      <c r="Y233" s="63"/>
    </row>
    <row r="234" spans="1:25" x14ac:dyDescent="0.35">
      <c r="A234" s="62"/>
      <c r="B234" s="63"/>
      <c r="C234" s="63"/>
      <c r="D234" s="63"/>
      <c r="E234" s="63"/>
      <c r="F234" s="62"/>
      <c r="G234" s="63"/>
      <c r="H234" s="63"/>
      <c r="I234" s="63"/>
      <c r="J234" s="63"/>
      <c r="K234" s="64"/>
      <c r="L234" s="63"/>
      <c r="M234" s="63"/>
      <c r="N234" s="63"/>
      <c r="O234" s="63"/>
      <c r="P234" s="63"/>
      <c r="Q234" s="63"/>
      <c r="R234" s="63"/>
      <c r="S234" s="65"/>
      <c r="T234" s="65"/>
      <c r="U234" s="65"/>
      <c r="V234" s="65"/>
      <c r="W234" s="65"/>
      <c r="X234" s="63"/>
      <c r="Y234" s="63"/>
    </row>
    <row r="235" spans="1:25" x14ac:dyDescent="0.35">
      <c r="A235" s="62"/>
      <c r="B235" s="63"/>
      <c r="C235" s="63"/>
      <c r="D235" s="63"/>
      <c r="E235" s="63"/>
      <c r="F235" s="62"/>
      <c r="G235" s="63"/>
      <c r="H235" s="63"/>
      <c r="I235" s="63"/>
      <c r="J235" s="63"/>
      <c r="K235" s="64"/>
      <c r="L235" s="63"/>
      <c r="M235" s="63"/>
      <c r="N235" s="63"/>
      <c r="O235" s="63"/>
      <c r="P235" s="63"/>
      <c r="Q235" s="63"/>
      <c r="R235" s="63"/>
      <c r="S235" s="65"/>
      <c r="T235" s="65"/>
      <c r="U235" s="65"/>
      <c r="V235" s="65"/>
      <c r="W235" s="65"/>
      <c r="X235" s="63"/>
      <c r="Y235" s="63"/>
    </row>
    <row r="239" spans="1:25" x14ac:dyDescent="0.35">
      <c r="F239" s="295"/>
    </row>
  </sheetData>
  <mergeCells count="35">
    <mergeCell ref="G101:G102"/>
    <mergeCell ref="G75:G76"/>
    <mergeCell ref="G49:G50"/>
    <mergeCell ref="G23:G24"/>
    <mergeCell ref="B101:B102"/>
    <mergeCell ref="C101:F102"/>
    <mergeCell ref="B70:B71"/>
    <mergeCell ref="C70:F71"/>
    <mergeCell ref="B33:B38"/>
    <mergeCell ref="B49:B50"/>
    <mergeCell ref="C49:F50"/>
    <mergeCell ref="B59:B64"/>
    <mergeCell ref="B44:B45"/>
    <mergeCell ref="C44:F45"/>
    <mergeCell ref="B23:B24"/>
    <mergeCell ref="B111:B116"/>
    <mergeCell ref="B122:B123"/>
    <mergeCell ref="C122:F123"/>
    <mergeCell ref="B75:B76"/>
    <mergeCell ref="C75:F76"/>
    <mergeCell ref="B85:B90"/>
    <mergeCell ref="B96:B97"/>
    <mergeCell ref="C96:F97"/>
    <mergeCell ref="B16:B19"/>
    <mergeCell ref="C23:F24"/>
    <mergeCell ref="L7:O7"/>
    <mergeCell ref="K23:O23"/>
    <mergeCell ref="A1:H1"/>
    <mergeCell ref="A2:H2"/>
    <mergeCell ref="B4:G5"/>
    <mergeCell ref="B21:G22"/>
    <mergeCell ref="K4:O5"/>
    <mergeCell ref="K6:O6"/>
    <mergeCell ref="K10:K20"/>
    <mergeCell ref="K7:K8"/>
  </mergeCells>
  <conditionalFormatting sqref="C25">
    <cfRule type="duplicateValues" dxfId="9" priority="10"/>
  </conditionalFormatting>
  <conditionalFormatting sqref="O25:O28">
    <cfRule type="expression" dxfId="8" priority="1">
      <formula>N25&lt;M25</formula>
    </cfRule>
    <cfRule type="expression" dxfId="7" priority="2">
      <formula>N25&gt;M25</formula>
    </cfRule>
  </conditionalFormatting>
  <dataValidations count="8">
    <dataValidation type="list" allowBlank="1" showInputMessage="1" showErrorMessage="1" sqref="C26 C52 C78 C104" xr:uid="{0513C995-1685-47EE-94F6-4B362C898FC7}">
      <formula1>CT_APPLICATION_tb</formula1>
    </dataValidation>
    <dataValidation type="list" allowBlank="1" showInputMessage="1" showErrorMessage="1" sqref="C30 C108 C82 C56" xr:uid="{47CEC576-B9F8-4346-8DEB-F62D7DBEB4A7}">
      <formula1>$AS$11:$AS$13</formula1>
    </dataValidation>
    <dataValidation type="list" allowBlank="1" showInputMessage="1" showErrorMessage="1" sqref="C27 C105 C79 C53" xr:uid="{821AFFD2-28AF-4FDD-99D3-0713F9BD8583}">
      <formula1>$AQ$11:$AQ$12</formula1>
    </dataValidation>
    <dataValidation type="list" allowBlank="1" showInputMessage="1" showErrorMessage="1" sqref="C29 C107 C81 C55" xr:uid="{CBB009F3-9E72-4B3C-AEA5-758DF5E0C4D9}">
      <formula1>$AM$11:$AM$12</formula1>
    </dataValidation>
    <dataValidation type="list" allowBlank="1" showInputMessage="1" showErrorMessage="1" sqref="C42 C120 C94 C68" xr:uid="{3909EE0C-B0C3-4AE4-8E47-4ECE410751EB}">
      <formula1>$AN$11:$AN$13</formula1>
    </dataValidation>
    <dataValidation type="list" allowBlank="1" showInputMessage="1" showErrorMessage="1" sqref="D15" xr:uid="{1B0AB1ED-D328-45EF-819C-5ED23B44029F}">
      <formula1>$AL$11:$AL$12</formula1>
    </dataValidation>
    <dataValidation type="list" allowBlank="1" showInputMessage="1" showErrorMessage="1" sqref="D14" xr:uid="{F0E20128-8770-4499-9574-4495675BDC2D}">
      <formula1>$AK$11:$AK$13</formula1>
    </dataValidation>
    <dataValidation type="list" allowBlank="1" showInputMessage="1" showErrorMessage="1" sqref="F26 F104 F78 F52" xr:uid="{FA33DAEB-B12F-4A94-85E5-EE4331244442}">
      <formula1>$AH$11:$AH$15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8CBE6-DC34-4115-9469-584CBDBC84D8}">
  <sheetPr codeName="Sheet4"/>
  <dimension ref="A1:AS235"/>
  <sheetViews>
    <sheetView topLeftCell="A12" zoomScale="85" zoomScaleNormal="85" workbookViewId="0">
      <selection activeCell="L41" sqref="L41"/>
    </sheetView>
  </sheetViews>
  <sheetFormatPr defaultRowHeight="13" x14ac:dyDescent="0.35"/>
  <cols>
    <col min="1" max="1" width="3.36328125" style="9" customWidth="1"/>
    <col min="2" max="2" width="24.6328125" style="1" bestFit="1" customWidth="1"/>
    <col min="3" max="3" width="9.7265625" style="1" bestFit="1" customWidth="1"/>
    <col min="4" max="4" width="17.36328125" style="1" bestFit="1" customWidth="1"/>
    <col min="5" max="5" width="11" style="1" bestFit="1" customWidth="1"/>
    <col min="6" max="6" width="9.26953125" style="9" bestFit="1" customWidth="1"/>
    <col min="7" max="7" width="7.453125" style="1" customWidth="1"/>
    <col min="8" max="8" width="3.1796875" style="1" customWidth="1"/>
    <col min="9" max="9" width="6.453125" style="1" customWidth="1"/>
    <col min="10" max="10" width="4.81640625" style="1" customWidth="1"/>
    <col min="11" max="11" width="22.54296875" style="40" customWidth="1"/>
    <col min="12" max="12" width="32.54296875" style="1" customWidth="1"/>
    <col min="13" max="14" width="23.1796875" style="1" bestFit="1" customWidth="1"/>
    <col min="15" max="15" width="26.08984375" style="1" customWidth="1"/>
    <col min="16" max="16" width="4" style="1" customWidth="1"/>
    <col min="17" max="17" width="8.54296875" style="1" customWidth="1"/>
    <col min="18" max="18" width="16.1796875" style="1" bestFit="1" customWidth="1"/>
    <col min="19" max="19" width="17.1796875" style="2" customWidth="1"/>
    <col min="20" max="20" width="19.453125" style="2" customWidth="1"/>
    <col min="21" max="21" width="14.08984375" style="2" customWidth="1"/>
    <col min="22" max="23" width="3.1796875" style="2" bestFit="1" customWidth="1"/>
    <col min="24" max="25" width="3.1796875" style="1" bestFit="1" customWidth="1"/>
    <col min="26" max="26" width="10.36328125" style="1" customWidth="1"/>
    <col min="27" max="27" width="8.1796875" style="1" bestFit="1" customWidth="1"/>
    <col min="28" max="28" width="8.7265625" style="1"/>
    <col min="29" max="29" width="11.1796875" style="1" bestFit="1" customWidth="1"/>
    <col min="30" max="33" width="8.7265625" style="1"/>
    <col min="34" max="34" width="7.6328125" style="1" bestFit="1" customWidth="1"/>
    <col min="35" max="37" width="8.7265625" style="1"/>
    <col min="38" max="38" width="7.453125" style="1" bestFit="1" customWidth="1"/>
    <col min="39" max="39" width="7.36328125" style="1" bestFit="1" customWidth="1"/>
    <col min="40" max="40" width="7.90625" style="1" bestFit="1" customWidth="1"/>
    <col min="41" max="41" width="8.7265625" style="1"/>
    <col min="42" max="42" width="8.36328125" style="1" bestFit="1" customWidth="1"/>
    <col min="43" max="43" width="7.26953125" style="1" bestFit="1" customWidth="1"/>
    <col min="44" max="44" width="7.90625" style="1" bestFit="1" customWidth="1"/>
    <col min="45" max="45" width="7.81640625" style="1" bestFit="1" customWidth="1"/>
    <col min="46" max="46" width="8.7265625" style="1"/>
    <col min="47" max="47" width="8.26953125" style="1" bestFit="1" customWidth="1"/>
    <col min="48" max="48" width="8.7265625" style="1"/>
    <col min="49" max="49" width="7.81640625" style="1" bestFit="1" customWidth="1"/>
    <col min="50" max="16384" width="8.7265625" style="1"/>
  </cols>
  <sheetData>
    <row r="1" spans="1:45" x14ac:dyDescent="0.35">
      <c r="A1" s="222" t="s">
        <v>122</v>
      </c>
      <c r="B1" s="222"/>
      <c r="C1" s="222"/>
      <c r="D1" s="222"/>
      <c r="E1" s="222"/>
      <c r="F1" s="222"/>
      <c r="G1" s="222"/>
      <c r="H1" s="222"/>
      <c r="I1" s="63"/>
      <c r="J1" s="63"/>
      <c r="K1" s="64"/>
      <c r="L1" s="63"/>
      <c r="M1" s="63"/>
      <c r="N1" s="63"/>
      <c r="O1" s="63"/>
      <c r="P1" s="63"/>
      <c r="Q1" s="63"/>
      <c r="R1" s="63"/>
      <c r="S1" s="65"/>
      <c r="T1" s="65"/>
      <c r="U1" s="65"/>
      <c r="V1" s="65"/>
      <c r="W1" s="65"/>
      <c r="X1" s="63"/>
      <c r="Y1" s="63"/>
    </row>
    <row r="2" spans="1:45" ht="12.5" customHeight="1" x14ac:dyDescent="0.35">
      <c r="A2" s="222" t="s">
        <v>123</v>
      </c>
      <c r="B2" s="222"/>
      <c r="C2" s="222"/>
      <c r="D2" s="222"/>
      <c r="E2" s="222"/>
      <c r="F2" s="222"/>
      <c r="G2" s="222"/>
      <c r="H2" s="222"/>
      <c r="I2" s="63"/>
      <c r="J2" s="63"/>
      <c r="K2" s="64"/>
      <c r="L2" s="63"/>
      <c r="M2" s="63"/>
      <c r="N2" s="63"/>
      <c r="O2" s="63"/>
      <c r="P2" s="63"/>
      <c r="Q2" s="63"/>
      <c r="R2" s="63"/>
      <c r="S2" s="65"/>
      <c r="T2" s="65"/>
      <c r="U2" s="65"/>
      <c r="V2" s="65"/>
      <c r="W2" s="65"/>
      <c r="X2" s="63"/>
      <c r="Y2" s="63"/>
    </row>
    <row r="3" spans="1:45" x14ac:dyDescent="0.35">
      <c r="A3" s="62"/>
      <c r="B3" s="63"/>
      <c r="C3" s="63"/>
      <c r="D3" s="63"/>
      <c r="E3" s="63"/>
      <c r="F3" s="62"/>
      <c r="G3" s="63"/>
      <c r="H3" s="63"/>
      <c r="I3" s="63"/>
      <c r="J3" s="63"/>
      <c r="K3" s="64"/>
      <c r="L3" s="63"/>
      <c r="M3" s="63"/>
      <c r="N3" s="63"/>
      <c r="O3" s="63"/>
      <c r="P3" s="63"/>
      <c r="Q3" s="63"/>
      <c r="R3" s="63"/>
      <c r="S3" s="65"/>
      <c r="T3" s="65"/>
      <c r="U3" s="65"/>
      <c r="V3" s="65"/>
      <c r="W3" s="65"/>
      <c r="X3" s="63"/>
      <c r="Y3" s="63"/>
    </row>
    <row r="4" spans="1:45" x14ac:dyDescent="0.35">
      <c r="A4" s="102"/>
      <c r="B4" s="223" t="s">
        <v>83</v>
      </c>
      <c r="C4" s="223"/>
      <c r="D4" s="223"/>
      <c r="E4" s="223"/>
      <c r="F4" s="223"/>
      <c r="G4" s="223"/>
      <c r="H4" s="103"/>
      <c r="I4" s="63"/>
      <c r="J4" s="46"/>
      <c r="K4" s="224" t="s">
        <v>153</v>
      </c>
      <c r="L4" s="224"/>
      <c r="M4" s="224"/>
      <c r="N4" s="224"/>
      <c r="O4" s="224"/>
      <c r="P4" s="46"/>
      <c r="W4" s="63"/>
      <c r="X4" s="63"/>
      <c r="Y4" s="63"/>
    </row>
    <row r="5" spans="1:45" ht="13.5" thickBot="1" x14ac:dyDescent="0.4">
      <c r="A5" s="102"/>
      <c r="B5" s="223"/>
      <c r="C5" s="223"/>
      <c r="D5" s="223"/>
      <c r="E5" s="223"/>
      <c r="F5" s="223"/>
      <c r="G5" s="223"/>
      <c r="H5" s="103"/>
      <c r="I5" s="63"/>
      <c r="J5" s="46"/>
      <c r="K5" s="224"/>
      <c r="L5" s="224"/>
      <c r="M5" s="224"/>
      <c r="N5" s="224"/>
      <c r="O5" s="224"/>
      <c r="P5" s="46"/>
      <c r="W5" s="63"/>
      <c r="X5" s="63"/>
      <c r="Y5" s="63"/>
    </row>
    <row r="6" spans="1:45" ht="13.5" thickBot="1" x14ac:dyDescent="0.4">
      <c r="A6" s="102"/>
      <c r="B6" s="94"/>
      <c r="C6" s="95"/>
      <c r="D6" s="95"/>
      <c r="E6" s="95"/>
      <c r="F6" s="95"/>
      <c r="G6" s="96"/>
      <c r="H6" s="103"/>
      <c r="I6" s="63"/>
      <c r="J6" s="46"/>
      <c r="K6" s="225" t="s">
        <v>154</v>
      </c>
      <c r="L6" s="226"/>
      <c r="M6" s="226"/>
      <c r="N6" s="226"/>
      <c r="O6" s="227"/>
      <c r="P6" s="46"/>
      <c r="W6" s="63"/>
      <c r="X6" s="63"/>
      <c r="Y6" s="63"/>
    </row>
    <row r="7" spans="1:45" x14ac:dyDescent="0.35">
      <c r="A7" s="102"/>
      <c r="B7" s="97" t="s">
        <v>132</v>
      </c>
      <c r="C7" s="85"/>
      <c r="D7" s="18" t="str">
        <f>Input_Data_HV_CTs!D7</f>
        <v>N22154</v>
      </c>
      <c r="E7" s="85"/>
      <c r="F7" s="85"/>
      <c r="G7" s="88"/>
      <c r="H7" s="103"/>
      <c r="I7" s="63"/>
      <c r="J7" s="46"/>
      <c r="K7" s="230" t="s">
        <v>98</v>
      </c>
      <c r="L7" s="216" t="s">
        <v>107</v>
      </c>
      <c r="M7" s="217"/>
      <c r="N7" s="217"/>
      <c r="O7" s="218"/>
      <c r="P7" s="46"/>
      <c r="Y7" s="63"/>
    </row>
    <row r="8" spans="1:45" ht="13.5" thickBot="1" x14ac:dyDescent="0.4">
      <c r="A8" s="102"/>
      <c r="B8" s="97" t="s">
        <v>101</v>
      </c>
      <c r="C8" s="85"/>
      <c r="D8" s="17">
        <v>4</v>
      </c>
      <c r="E8" s="85"/>
      <c r="F8" s="85"/>
      <c r="G8" s="88"/>
      <c r="H8" s="103"/>
      <c r="I8" s="63"/>
      <c r="J8" s="46"/>
      <c r="K8" s="231"/>
      <c r="L8" s="49"/>
      <c r="M8" s="71"/>
      <c r="N8" s="71"/>
      <c r="O8" s="50"/>
      <c r="P8" s="46"/>
      <c r="Y8" s="63"/>
    </row>
    <row r="9" spans="1:45" ht="13.5" thickBot="1" x14ac:dyDescent="0.4">
      <c r="A9" s="102"/>
      <c r="B9" s="97" t="s">
        <v>142</v>
      </c>
      <c r="C9" s="85"/>
      <c r="D9" s="47">
        <f>Input_Data_HV_CTs!D9</f>
        <v>18700</v>
      </c>
      <c r="E9" s="85"/>
      <c r="F9" s="85"/>
      <c r="G9" s="86"/>
      <c r="H9" s="103"/>
      <c r="I9" s="63"/>
      <c r="J9" s="46"/>
      <c r="K9" s="60"/>
      <c r="L9" s="41" t="s">
        <v>89</v>
      </c>
      <c r="M9" s="42" t="s">
        <v>146</v>
      </c>
      <c r="N9" s="42" t="s">
        <v>148</v>
      </c>
      <c r="O9" s="45" t="s">
        <v>150</v>
      </c>
      <c r="P9" s="46"/>
    </row>
    <row r="10" spans="1:45" ht="26" x14ac:dyDescent="0.35">
      <c r="A10" s="102"/>
      <c r="B10" s="97" t="s">
        <v>31</v>
      </c>
      <c r="C10" s="85"/>
      <c r="D10" s="47">
        <f>Input_Data_HV_CTs!D10</f>
        <v>69000</v>
      </c>
      <c r="E10" s="85"/>
      <c r="F10" s="85"/>
      <c r="G10" s="86"/>
      <c r="H10" s="103"/>
      <c r="I10" s="63"/>
      <c r="J10" s="46"/>
      <c r="K10" s="228" t="s">
        <v>93</v>
      </c>
      <c r="L10" s="43" t="str" cm="1">
        <f t="array" ref="L10">_xlfn.LET(
  _xlpm.todos,
    _xlfn.VSTACK(
      C33:C38,
      C59:C64,
      C85:C90,
      C111:C116
    ),
  IFERROR(
    _xlfn._xlws.FILTER(_xlpm.todos, _xlpm.todos&lt;&gt;""),
    ""
  )
)</f>
        <v/>
      </c>
      <c r="M10" s="43" t="str" cm="1">
        <f t="array" ref="M10:M12">_xlfn.LET(
  _xlpm.todos,
    _xlfn.VSTACK(
      D33:D38,
      D59:D64,
      D85:D90,
      D111:D116
    ),
  IFERROR(
    _xlfn._xlws.FILTER(_xlpm.todos, _xlpm.todos&lt;&gt;""),
    ""
  )
)</f>
        <v>CT3-X11</v>
      </c>
      <c r="N10" s="43" t="str" cm="1">
        <f t="array" ref="N10:N12">_xlfn.LET(
  _xlpm.todos,
    _xlfn.VSTACK(
      E33:E38,
      E59:E64,
      E85:E90,
      E111:E116
    ),
  IFERROR(
    _xlfn._xlws.FILTER(_xlpm.todos, _xlpm.todos&lt;&gt;""),
    ""
  )
)</f>
        <v>CT3-X21</v>
      </c>
      <c r="O10" s="72" t="str" cm="1">
        <f t="array" ref="O10:O11">_xlfn.LET(
  _xlpm.todos,
    _xlfn.VSTACK(
      F33:F38,
      F59:F64,
      F85:F90,
      F111:F116
    ),
  IFERROR(
    _xlfn._xlws.FILTER(_xlpm.todos, _xlpm.todos&lt;&gt;""),
    ""
  )
)</f>
        <v>CT3-X31</v>
      </c>
      <c r="P10" s="46"/>
      <c r="AH10" s="1" t="s">
        <v>78</v>
      </c>
      <c r="AK10" s="1" t="s">
        <v>36</v>
      </c>
      <c r="AL10" s="1" t="s">
        <v>23</v>
      </c>
      <c r="AM10" s="1" t="s">
        <v>24</v>
      </c>
      <c r="AN10" s="1" t="s">
        <v>27</v>
      </c>
      <c r="AO10" s="8" t="s">
        <v>11</v>
      </c>
      <c r="AQ10" s="8" t="s">
        <v>17</v>
      </c>
      <c r="AS10" s="8" t="s">
        <v>12</v>
      </c>
    </row>
    <row r="11" spans="1:45" ht="26" x14ac:dyDescent="0.35">
      <c r="A11" s="102"/>
      <c r="B11" s="97" t="s">
        <v>33</v>
      </c>
      <c r="C11" s="85"/>
      <c r="D11" s="15">
        <f>D9/(SQRT(3)*D10/1000)</f>
        <v>156.47029034559424</v>
      </c>
      <c r="E11" s="85"/>
      <c r="F11" s="85"/>
      <c r="G11" s="86"/>
      <c r="H11" s="103"/>
      <c r="I11" s="63"/>
      <c r="J11" s="46"/>
      <c r="K11" s="229"/>
      <c r="L11" s="44"/>
      <c r="M11" s="44" t="str">
        <v>CT4-X11</v>
      </c>
      <c r="N11" s="44" t="str">
        <v>CT4-X21</v>
      </c>
      <c r="O11" s="73" t="str">
        <v>CT4-X31</v>
      </c>
      <c r="P11" s="46"/>
      <c r="AH11" s="1" t="s">
        <v>77</v>
      </c>
      <c r="AK11" s="1" t="s">
        <v>37</v>
      </c>
      <c r="AL11" s="1">
        <v>50</v>
      </c>
      <c r="AM11" s="1" t="s">
        <v>25</v>
      </c>
      <c r="AN11" s="1" t="s">
        <v>29</v>
      </c>
      <c r="AO11" s="7" t="s">
        <v>5</v>
      </c>
      <c r="AQ11" s="7" t="s">
        <v>19</v>
      </c>
      <c r="AS11" s="7" t="s">
        <v>13</v>
      </c>
    </row>
    <row r="12" spans="1:45" ht="26" x14ac:dyDescent="0.35">
      <c r="A12" s="102"/>
      <c r="B12" s="97" t="s">
        <v>32</v>
      </c>
      <c r="C12" s="85"/>
      <c r="D12" s="47">
        <f>Input_Data_HV_CTs!D12</f>
        <v>12470</v>
      </c>
      <c r="E12" s="85"/>
      <c r="F12" s="85"/>
      <c r="G12" s="86"/>
      <c r="H12" s="103"/>
      <c r="I12" s="63"/>
      <c r="J12" s="46"/>
      <c r="K12" s="229"/>
      <c r="L12" s="44"/>
      <c r="M12" s="44" t="str">
        <v>CT7-X11</v>
      </c>
      <c r="N12" s="44" t="str">
        <v>CT6-X21</v>
      </c>
      <c r="O12" s="73"/>
      <c r="P12" s="46"/>
      <c r="AH12" s="1" t="s">
        <v>80</v>
      </c>
      <c r="AK12" s="1" t="s">
        <v>38</v>
      </c>
      <c r="AL12" s="1">
        <v>60</v>
      </c>
      <c r="AM12" s="1" t="s">
        <v>26</v>
      </c>
      <c r="AN12" s="1" t="s">
        <v>28</v>
      </c>
      <c r="AO12" s="7" t="s">
        <v>4</v>
      </c>
      <c r="AQ12" s="7" t="s">
        <v>18</v>
      </c>
      <c r="AS12" s="7" t="s">
        <v>14</v>
      </c>
    </row>
    <row r="13" spans="1:45" ht="39" x14ac:dyDescent="0.35">
      <c r="A13" s="102"/>
      <c r="B13" s="97" t="s">
        <v>34</v>
      </c>
      <c r="C13" s="85"/>
      <c r="D13" s="15">
        <f>D9/(SQRT(3)*D12/1000)</f>
        <v>865.79390808708911</v>
      </c>
      <c r="E13" s="85"/>
      <c r="F13" s="85"/>
      <c r="G13" s="86"/>
      <c r="H13" s="103"/>
      <c r="I13" s="63"/>
      <c r="J13" s="46"/>
      <c r="K13" s="229"/>
      <c r="L13" s="44"/>
      <c r="M13" s="44"/>
      <c r="N13" s="44"/>
      <c r="O13" s="73"/>
      <c r="P13" s="46"/>
      <c r="AH13" s="1" t="s">
        <v>76</v>
      </c>
      <c r="AK13" s="1" t="s">
        <v>39</v>
      </c>
      <c r="AN13" s="1" t="s">
        <v>30</v>
      </c>
      <c r="AO13" s="7" t="s">
        <v>16</v>
      </c>
      <c r="AS13" s="7" t="s">
        <v>15</v>
      </c>
    </row>
    <row r="14" spans="1:45" x14ac:dyDescent="0.35">
      <c r="A14" s="102"/>
      <c r="B14" s="97" t="s">
        <v>1</v>
      </c>
      <c r="C14" s="85"/>
      <c r="D14" s="16" t="str">
        <f>Input_Data_HV_CTs!D14</f>
        <v>ONAN/ONAF/ONAF</v>
      </c>
      <c r="E14" s="85"/>
      <c r="F14" s="85"/>
      <c r="G14" s="86"/>
      <c r="H14" s="103"/>
      <c r="I14" s="63"/>
      <c r="J14" s="46"/>
      <c r="K14" s="229"/>
      <c r="L14" s="44"/>
      <c r="M14" s="44"/>
      <c r="N14" s="44"/>
      <c r="O14" s="73"/>
      <c r="P14" s="46"/>
      <c r="AH14" s="1" t="s">
        <v>79</v>
      </c>
    </row>
    <row r="15" spans="1:45" x14ac:dyDescent="0.35">
      <c r="A15" s="102"/>
      <c r="B15" s="97" t="s">
        <v>23</v>
      </c>
      <c r="C15" s="85"/>
      <c r="D15" s="18">
        <f>Input_Data_HV_CTs!D15</f>
        <v>60</v>
      </c>
      <c r="E15" s="85"/>
      <c r="F15" s="85"/>
      <c r="G15" s="86"/>
      <c r="H15" s="103"/>
      <c r="I15" s="63"/>
      <c r="J15" s="46"/>
      <c r="K15" s="229"/>
      <c r="L15" s="44"/>
      <c r="M15" s="44"/>
      <c r="N15" s="44"/>
      <c r="O15" s="73"/>
      <c r="P15" s="46"/>
    </row>
    <row r="16" spans="1:45" x14ac:dyDescent="0.35">
      <c r="A16" s="102"/>
      <c r="B16" s="213" t="s">
        <v>99</v>
      </c>
      <c r="C16" s="10" t="s">
        <v>88</v>
      </c>
      <c r="D16" s="12">
        <v>18</v>
      </c>
      <c r="E16" s="85" t="s">
        <v>95</v>
      </c>
      <c r="F16" s="85"/>
      <c r="G16" s="86"/>
      <c r="H16" s="103"/>
      <c r="I16" s="63"/>
      <c r="J16" s="46"/>
      <c r="K16" s="229"/>
      <c r="L16" s="44"/>
      <c r="M16" s="44"/>
      <c r="N16" s="44"/>
      <c r="O16" s="73"/>
      <c r="P16" s="46"/>
    </row>
    <row r="17" spans="1:21" x14ac:dyDescent="0.35">
      <c r="A17" s="102"/>
      <c r="B17" s="213"/>
      <c r="C17" s="10" t="s">
        <v>89</v>
      </c>
      <c r="D17" s="12">
        <v>18</v>
      </c>
      <c r="E17" s="85" t="s">
        <v>95</v>
      </c>
      <c r="F17" s="85"/>
      <c r="G17" s="88"/>
      <c r="H17" s="103"/>
      <c r="I17" s="63"/>
      <c r="J17" s="46"/>
      <c r="K17" s="229"/>
      <c r="L17" s="47"/>
      <c r="M17" s="47"/>
      <c r="N17" s="47"/>
      <c r="O17" s="74"/>
      <c r="P17" s="46"/>
    </row>
    <row r="18" spans="1:21" x14ac:dyDescent="0.35">
      <c r="A18" s="102"/>
      <c r="B18" s="213"/>
      <c r="C18" s="11"/>
      <c r="D18" s="13"/>
      <c r="E18" s="85" t="s">
        <v>95</v>
      </c>
      <c r="F18" s="85"/>
      <c r="G18" s="86"/>
      <c r="H18" s="103"/>
      <c r="I18" s="63"/>
      <c r="J18" s="46"/>
      <c r="K18" s="229"/>
      <c r="L18" s="47"/>
      <c r="M18" s="47"/>
      <c r="N18" s="47"/>
      <c r="O18" s="74"/>
      <c r="P18" s="46"/>
    </row>
    <row r="19" spans="1:21" x14ac:dyDescent="0.35">
      <c r="A19" s="102"/>
      <c r="B19" s="213"/>
      <c r="C19" s="10"/>
      <c r="D19" s="12"/>
      <c r="E19" s="85" t="s">
        <v>95</v>
      </c>
      <c r="F19" s="85"/>
      <c r="G19" s="86"/>
      <c r="H19" s="103"/>
      <c r="I19" s="63"/>
      <c r="J19" s="46"/>
      <c r="K19" s="229"/>
      <c r="L19" s="47"/>
      <c r="M19" s="47"/>
      <c r="N19" s="47"/>
      <c r="O19" s="74"/>
      <c r="P19" s="46"/>
    </row>
    <row r="20" spans="1:21" ht="13.5" thickBot="1" x14ac:dyDescent="0.4">
      <c r="A20" s="102"/>
      <c r="B20" s="91"/>
      <c r="C20" s="92"/>
      <c r="D20" s="92"/>
      <c r="E20" s="92"/>
      <c r="F20" s="92"/>
      <c r="G20" s="93"/>
      <c r="H20" s="103"/>
      <c r="I20" s="63"/>
      <c r="J20" s="46"/>
      <c r="K20" s="229"/>
      <c r="L20" s="48"/>
      <c r="M20" s="48"/>
      <c r="N20" s="48"/>
      <c r="O20" s="75"/>
      <c r="P20" s="46"/>
    </row>
    <row r="21" spans="1:21" x14ac:dyDescent="0.35">
      <c r="A21" s="102"/>
      <c r="B21" s="223" t="s">
        <v>152</v>
      </c>
      <c r="C21" s="223"/>
      <c r="D21" s="223"/>
      <c r="E21" s="223"/>
      <c r="F21" s="223"/>
      <c r="G21" s="223"/>
      <c r="H21" s="103"/>
      <c r="I21" s="63"/>
      <c r="J21" s="46"/>
      <c r="K21" s="60"/>
      <c r="L21" s="76"/>
      <c r="M21" s="76"/>
      <c r="N21" s="76"/>
      <c r="O21" s="52"/>
      <c r="P21" s="46"/>
    </row>
    <row r="22" spans="1:21" ht="13.5" thickBot="1" x14ac:dyDescent="0.4">
      <c r="A22" s="102"/>
      <c r="B22" s="223"/>
      <c r="C22" s="223"/>
      <c r="D22" s="223"/>
      <c r="E22" s="223"/>
      <c r="F22" s="223"/>
      <c r="G22" s="223"/>
      <c r="H22" s="103"/>
      <c r="I22" s="63"/>
      <c r="J22" s="46"/>
      <c r="K22" s="77"/>
      <c r="L22" s="78"/>
      <c r="M22" s="78"/>
      <c r="N22" s="78"/>
      <c r="O22" s="79"/>
      <c r="P22" s="46"/>
    </row>
    <row r="23" spans="1:21" x14ac:dyDescent="0.35">
      <c r="A23" s="102"/>
      <c r="B23" s="235" t="s">
        <v>0</v>
      </c>
      <c r="C23" s="214" t="s">
        <v>19</v>
      </c>
      <c r="D23" s="214"/>
      <c r="E23" s="214"/>
      <c r="F23" s="214"/>
      <c r="G23" s="237">
        <v>1</v>
      </c>
      <c r="H23" s="103"/>
      <c r="I23" s="63"/>
      <c r="J23" s="46"/>
      <c r="K23" s="219" t="s">
        <v>124</v>
      </c>
      <c r="L23" s="220"/>
      <c r="M23" s="220"/>
      <c r="N23" s="220"/>
      <c r="O23" s="221"/>
      <c r="P23" s="61"/>
    </row>
    <row r="24" spans="1:21" x14ac:dyDescent="0.35">
      <c r="A24" s="102"/>
      <c r="B24" s="236"/>
      <c r="C24" s="215"/>
      <c r="D24" s="215"/>
      <c r="E24" s="215"/>
      <c r="F24" s="215"/>
      <c r="G24" s="238"/>
      <c r="H24" s="103"/>
      <c r="I24" s="63"/>
      <c r="J24" s="46"/>
      <c r="K24" s="60"/>
      <c r="L24" s="99" t="s">
        <v>111</v>
      </c>
      <c r="M24" s="99" t="s">
        <v>110</v>
      </c>
      <c r="N24" s="100" t="s">
        <v>109</v>
      </c>
      <c r="O24" s="101" t="s">
        <v>116</v>
      </c>
      <c r="P24" s="46"/>
    </row>
    <row r="25" spans="1:21" x14ac:dyDescent="0.35">
      <c r="A25" s="102"/>
      <c r="B25" s="84" t="s">
        <v>82</v>
      </c>
      <c r="C25" s="24" t="s">
        <v>189</v>
      </c>
      <c r="D25" s="85"/>
      <c r="E25" s="85"/>
      <c r="F25" s="85"/>
      <c r="G25" s="86"/>
      <c r="H25" s="103"/>
      <c r="I25" s="63"/>
      <c r="J25" s="46"/>
      <c r="K25" s="60"/>
      <c r="L25" s="18" t="s">
        <v>145</v>
      </c>
      <c r="M25" s="18">
        <f>(C32*$C$39)+(C32+1)*(1/8)   +   (C58*$C$65)+(C58)*(1/8)   +   (C84*$C$91)+(C84)*(1/8)    +     (C110*$C$117)+(C110+1)*(1/8)</f>
        <v>0.25</v>
      </c>
      <c r="N25" s="67">
        <f>D17</f>
        <v>18</v>
      </c>
      <c r="O25" s="37" t="str">
        <f>IF(N25&gt;M25, "All CTs Fit", IF(D17=0,"-","ERROR CTs don't fit"))</f>
        <v>All CTs Fit</v>
      </c>
      <c r="P25" s="46"/>
      <c r="S25" s="1"/>
      <c r="T25" s="1"/>
      <c r="U25" s="1"/>
    </row>
    <row r="26" spans="1:21" x14ac:dyDescent="0.35">
      <c r="A26" s="102"/>
      <c r="B26" s="84" t="s">
        <v>9</v>
      </c>
      <c r="C26" s="16" t="s">
        <v>16</v>
      </c>
      <c r="D26" s="85"/>
      <c r="E26" s="85" t="str">
        <f>IF(OR(C26="WTI", C26="LDC"),"CT Accuracy", "")</f>
        <v/>
      </c>
      <c r="F26" s="14" t="s">
        <v>77</v>
      </c>
      <c r="G26" s="86"/>
      <c r="H26" s="103"/>
      <c r="I26" s="63"/>
      <c r="J26" s="46"/>
      <c r="K26" s="60"/>
      <c r="L26" s="18" t="s">
        <v>147</v>
      </c>
      <c r="M26" s="18">
        <f>(D32*$C$39)+(D32+1)*(1/8)   +   (D58*$C$65)+(D58)*(1/8)   +   (D84*$C$91)+(D84)*(1/8)    +     (D110*$C$117)+(D110+1)*(1/8)</f>
        <v>12.625</v>
      </c>
      <c r="N26" s="67">
        <f>D16</f>
        <v>18</v>
      </c>
      <c r="O26" s="37" t="str">
        <f>IF(N26&gt;M26, "All CTs Fit", IF(D16=0,"-","ERROR CTs don't fit"))</f>
        <v>All CTs Fit</v>
      </c>
      <c r="P26" s="46"/>
    </row>
    <row r="27" spans="1:21" x14ac:dyDescent="0.35">
      <c r="A27" s="102"/>
      <c r="B27" s="84" t="s">
        <v>10</v>
      </c>
      <c r="C27" s="16" t="s">
        <v>18</v>
      </c>
      <c r="D27" s="85"/>
      <c r="E27" s="85"/>
      <c r="F27" s="85"/>
      <c r="G27" s="86"/>
      <c r="H27" s="103"/>
      <c r="I27" s="63"/>
      <c r="J27" s="46"/>
      <c r="K27" s="60"/>
      <c r="L27" s="18" t="s">
        <v>149</v>
      </c>
      <c r="M27" s="18">
        <f>(E32*$C$39)+(E32+1)*(1/8)   +   (E58*$C$65)+(E58)*(1/8)   +   (E84*$C$91)+(E84)*(1/8)    +     (E110*$C$117)+(E110+1)*(1/8)</f>
        <v>12.625</v>
      </c>
      <c r="N27" s="67">
        <f>D16</f>
        <v>18</v>
      </c>
      <c r="O27" s="37" t="str">
        <f>IF(N27&gt;M27, "All CTs Fit", IF(D16=0,"-","ERROR CTs don't fit"))</f>
        <v>All CTs Fit</v>
      </c>
      <c r="P27" s="46"/>
    </row>
    <row r="28" spans="1:21" ht="13.5" thickBot="1" x14ac:dyDescent="0.4">
      <c r="A28" s="102"/>
      <c r="B28" s="84" t="s">
        <v>90</v>
      </c>
      <c r="C28" s="17">
        <v>4</v>
      </c>
      <c r="D28" s="85"/>
      <c r="E28" s="85"/>
      <c r="F28" s="85"/>
      <c r="G28" s="86"/>
      <c r="H28" s="103"/>
      <c r="I28" s="63"/>
      <c r="J28" s="46"/>
      <c r="K28" s="69"/>
      <c r="L28" s="38" t="s">
        <v>151</v>
      </c>
      <c r="M28" s="18">
        <f>(F32*$C$39)+(F32+1)*(1/8)   +   (F58*$C$65)+(F58)*(1/8)   +   (F84*$C$91)+(F84)*(1/8)    +     (F110*$C$117)+(F110+1)*(1/8)</f>
        <v>8.5</v>
      </c>
      <c r="N28" s="70">
        <f>D16</f>
        <v>18</v>
      </c>
      <c r="O28" s="37" t="str">
        <f>IF(N28&gt;M28, "All CTs Fit", IF(D16=0,"-","ERROR CTs don't fit"))</f>
        <v>All CTs Fit</v>
      </c>
      <c r="P28" s="46"/>
    </row>
    <row r="29" spans="1:21" ht="13.5" thickBot="1" x14ac:dyDescent="0.4">
      <c r="A29" s="102"/>
      <c r="B29" s="84" t="s">
        <v>2</v>
      </c>
      <c r="C29" s="14" t="s">
        <v>26</v>
      </c>
      <c r="D29" s="85"/>
      <c r="E29" s="85"/>
      <c r="F29" s="85"/>
      <c r="G29" s="86"/>
      <c r="H29" s="103"/>
      <c r="I29" s="63"/>
      <c r="J29" s="46"/>
      <c r="K29" s="46"/>
      <c r="L29" s="46"/>
      <c r="M29" s="46"/>
      <c r="N29" s="51"/>
      <c r="O29" s="46"/>
      <c r="P29" s="46"/>
    </row>
    <row r="30" spans="1:21" ht="13.5" thickBot="1" x14ac:dyDescent="0.4">
      <c r="A30" s="102"/>
      <c r="B30" s="84" t="s">
        <v>3</v>
      </c>
      <c r="C30" s="31" t="s">
        <v>14</v>
      </c>
      <c r="D30" s="85"/>
      <c r="E30" s="85"/>
      <c r="F30" s="85"/>
      <c r="G30" s="86"/>
      <c r="H30" s="103"/>
      <c r="I30" s="63"/>
      <c r="J30" s="46"/>
      <c r="K30" s="56" t="s">
        <v>82</v>
      </c>
      <c r="L30" s="80" t="str">
        <f>C25</f>
        <v>CT3</v>
      </c>
      <c r="M30" s="80" t="str">
        <f>C51</f>
        <v>CT4</v>
      </c>
      <c r="N30" s="80" t="str">
        <f>C77</f>
        <v>CT6</v>
      </c>
      <c r="O30" s="81" t="str">
        <f>IF(OR($D$8=4,$D$8=5,$D$8=6,$D$8=7,$D$8=8),C103,"")</f>
        <v>CT7</v>
      </c>
      <c r="P30" s="46"/>
    </row>
    <row r="31" spans="1:21" x14ac:dyDescent="0.35">
      <c r="A31" s="102"/>
      <c r="B31" s="87" t="s">
        <v>85</v>
      </c>
      <c r="C31" s="32" t="s">
        <v>89</v>
      </c>
      <c r="D31" s="33" t="s">
        <v>146</v>
      </c>
      <c r="E31" s="33" t="s">
        <v>148</v>
      </c>
      <c r="F31" s="34" t="s">
        <v>150</v>
      </c>
      <c r="G31" s="88"/>
      <c r="H31" s="103"/>
      <c r="I31" s="63"/>
      <c r="J31" s="46"/>
      <c r="K31" s="57" t="s">
        <v>20</v>
      </c>
      <c r="L31" s="44" t="str">
        <f>IF(OR(D8=1,D8=2,D8=3,D8=4,D8=5,D8=6,D8=7,D8=8),IF($C$40=TRUE,$D$40&amp;" "&amp;$C$42,IF($D$14="ONAN","SR "&amp;ROUNDUP(1.25*$D$13,-1)&amp; " : 5",IF(OR($D$14="ONAN/ONAF",$D$14="ONAN/ONAF/ONAF"),"SR "&amp;ROUNDUP(1.1875*$D$13,-1) &amp; " : 5 "))), "")</f>
        <v>1600/1200/800/400 MR</v>
      </c>
      <c r="M31" s="44" t="str">
        <f>IF(OR($D$8=2,$D$8=3,$D$8=4,$D$8=5,$D$8=6,$D$8=7,$D$8=8),IF($C$66=TRUE,$D$66&amp;" "&amp;$C$68,IF($D$14="ONAN","SR "&amp;ROUNDUP(1.25*$D$13,-1)&amp; " : 5",IF(OR($D$14="ONAN/ONAF",$D$14="ONAN/ONAF/ONAF"),"SR "&amp;ROUNDUP(1.1875*$D$13,-1) &amp; " : 5 "))),"")</f>
        <v>2000 MR</v>
      </c>
      <c r="N31" s="44" t="str">
        <f>IF(OR($D$8=3,$D$8=4,$D$8=5,$D$8=6,$D$8=7,$D$8=8),IF($C$92=TRUE,$D$92&amp;" "&amp;$C$94,IF($D$14="ONAN","SR "&amp;ROUNDUP(1.25*$D$13,-1)&amp; " : 5",IF(OR($D$14="ONAN/ONAF",$D$14="ONAN/ONAF/ONAF"),"SR "&amp;ROUNDUP(1.1875*$D$13,-1) &amp; " : 5 "))),"")</f>
        <v xml:space="preserve">SR 1030 : 5 </v>
      </c>
      <c r="O31" s="73" t="str">
        <f>IF(OR($D$8=4,$D$8=5,$D$8=6,$D$8=7,$D$8=8),IF($C$118=TRUE,$D$118&amp;" "&amp;$C$120,IF($D$14="ONAN","SR "&amp;ROUNDUP(1.25*$D$13,-1)&amp; " : 5",IF(OR($D$14="ONAN/ONAF",$D$14="ONAN/ONAF/ONAF"),"SR "&amp;ROUNDUP(1.1875*$D$13,-1) &amp; " : 5 "))),"")</f>
        <v xml:space="preserve">SR 1030 : 5 </v>
      </c>
      <c r="P31" s="46"/>
    </row>
    <row r="32" spans="1:21" x14ac:dyDescent="0.35">
      <c r="A32" s="102"/>
      <c r="B32" s="87" t="s">
        <v>84</v>
      </c>
      <c r="C32" s="35">
        <v>0</v>
      </c>
      <c r="D32" s="14">
        <v>1</v>
      </c>
      <c r="E32" s="14">
        <v>1</v>
      </c>
      <c r="F32" s="36">
        <v>1</v>
      </c>
      <c r="G32" s="88"/>
      <c r="H32" s="103"/>
      <c r="I32" s="63"/>
      <c r="J32" s="46"/>
      <c r="K32" s="57" t="s">
        <v>21</v>
      </c>
      <c r="L32" s="44" t="str">
        <f>IF(OR(D8=1,D8=2,D8=3,D8=4,D8=5,D8=6,D8=7,D8=8),IF($C$41=TRUE,$D$41&amp;" @ "&amp;$D$40&amp;": 5 ",$F$26),"")</f>
        <v xml:space="preserve">0.3B1.8 @ 1600/1200/800/400: 5 </v>
      </c>
      <c r="M32" s="44" t="str">
        <f>IF(OR($D$8=2,$D$8=3,$D$8=4,$D$8=5,$D$8=6,$D$8=7,$D$8=8),IF($C$66=TRUE, $D$67 &amp; " @ " &amp; $D$66 &amp;": 5 ", $F$52),"")</f>
        <v xml:space="preserve">10L400 @ 2000: 5 </v>
      </c>
      <c r="N32" s="44" t="str">
        <f>IF(OR($D$8=3,$D$8=4,$D$8=5,$D$8=6,$D$8=7,$D$8=8),IF($C$92=TRUE, $D$93 &amp; " @ " &amp; $D$92 &amp;": 5 ", $F$78),"")</f>
        <v>10L20</v>
      </c>
      <c r="O32" s="73" t="str">
        <f>IF(OR($D$8=4,$D$8=5,$D$8=6,$D$8=7,$D$8=8),IF($C$118=TRUE, $D$119 &amp; " @ " &amp; $D$118 &amp;": 5 ", $F$104),"")</f>
        <v>10L20</v>
      </c>
      <c r="P32" s="46"/>
    </row>
    <row r="33" spans="1:17" x14ac:dyDescent="0.35">
      <c r="A33" s="102"/>
      <c r="B33" s="232" t="s">
        <v>86</v>
      </c>
      <c r="C33" s="206" t="str">
        <f>IF(
  ROWS($C$33:C33)&lt;= $C$32,
  $C$25 &amp; "-" &amp; C$31 &amp; ROWS($C$33:C33),
  ""
)</f>
        <v/>
      </c>
      <c r="D33" s="207" t="str">
        <f>IF(
  ROWS($D$33:D33)&lt;= $D$32,
  $C$25 &amp; "-" &amp; D$31 &amp; ROWS($D$33:D33),
  ""
)</f>
        <v>CT3-X11</v>
      </c>
      <c r="E33" s="207" t="str">
        <f>IF(
  ROWS($E$33:E33)&lt;= $E$32,
  $C$25 &amp; "-" &amp; E$31 &amp; ROWS($E$33:E33),
  ""
)</f>
        <v>CT3-X21</v>
      </c>
      <c r="F33" s="208" t="str">
        <f>IF(
  ROWS($F$33:F33)&lt;= $F$32,
  $C$25 &amp; "-" &amp; F$31 &amp; ROWS($F$33:F33),
  ""
)</f>
        <v>CT3-X31</v>
      </c>
      <c r="G33" s="88"/>
      <c r="H33" s="103"/>
      <c r="I33" s="63"/>
      <c r="J33" s="46"/>
      <c r="K33" s="57" t="s">
        <v>22</v>
      </c>
      <c r="L33" s="44">
        <f>IF(OR(D8=1,D8=2,D8=3,D8=4,D8=5,D8=6,D8=7,D8=8),$D$15,"")</f>
        <v>60</v>
      </c>
      <c r="M33" s="44">
        <f>IF(OR($D$8=2,$D$8=3,$D$8=4,$D$8=5,$D$8=6,$D$8=7,$D$8=8),$D$15,"")</f>
        <v>60</v>
      </c>
      <c r="N33" s="44">
        <f>IF(OR($D$8=3,$D$8=4,$D$8=5,$D$8=6,$D$8=7,$D$8=8),$D$15,"")</f>
        <v>60</v>
      </c>
      <c r="O33" s="73">
        <f>IF(OR($D$8=4,$D$8=5,$D$8=6,$D$8=7,$D$8=8),$D$15,"")</f>
        <v>60</v>
      </c>
      <c r="P33" s="46"/>
    </row>
    <row r="34" spans="1:17" x14ac:dyDescent="0.35">
      <c r="A34" s="102"/>
      <c r="B34" s="232"/>
      <c r="C34" s="206" t="str">
        <f>IF(
  ROWS($C$33:C34)&lt;= $C$32,
  $C$25 &amp; "-" &amp; C$31 &amp; ROWS($C$33:C34),
  ""
)</f>
        <v/>
      </c>
      <c r="D34" s="207" t="str">
        <f>IF(
  ROWS($D$33:D34)&lt;= $D$32,
  $C$25 &amp; "-" &amp; D$31 &amp; ROWS($D$33:D34),
  ""
)</f>
        <v/>
      </c>
      <c r="E34" s="207" t="str">
        <f>IF(
  ROWS($E$33:E34)&lt;= $E$32,
  $C$25 &amp; "-" &amp; E$31 &amp; ROWS($E$33:E34),
  ""
)</f>
        <v/>
      </c>
      <c r="F34" s="208" t="str">
        <f>IF(
  ROWS($F$33:F34)&lt;= $F$32,
  $C$25 &amp; "-" &amp; F$31 &amp; ROWS($F$33:F34),
  ""
)</f>
        <v/>
      </c>
      <c r="G34" s="88"/>
      <c r="H34" s="103"/>
      <c r="I34" s="63"/>
      <c r="J34" s="46"/>
      <c r="K34" s="57" t="s">
        <v>117</v>
      </c>
      <c r="L34" s="44" t="str">
        <f>IF(OR(D8=1,D8=2,D8=3,D8=4,D8=5,D8=6,D8=7,D8=8),IF($C$29="Yes",($C$28+1.75), ($C$28+1)),"")&amp;""""</f>
        <v>5"</v>
      </c>
      <c r="M34" s="173" t="str">
        <f>IF(OR($D$8=2,$D$8=3,$D$8=4,$D$8=5,$D$8=6,$D$8=7,$D$8=8),IF($C$55="Yes",($C$54+1.75), ($C$28+1)),"")&amp;""""</f>
        <v>5"</v>
      </c>
      <c r="N34" s="173" t="str">
        <f>IF(OR($D$8=3,$D$8=4,$D$8=5,$D$8=6,$D$8=7,$D$8=8),IF($C$81="Yes",($C$80+1.75), ($C$28+1)),"")&amp;""""</f>
        <v>5"</v>
      </c>
      <c r="O34" s="174" t="str">
        <f>IF(OR($D$8=4,$D$8=5,$D$8=6,$D$8=7,$D$8=8),IF($C$107="Yes",($C$106+1.75), ($C$28+1)),"")&amp;""""</f>
        <v>5"</v>
      </c>
      <c r="P34" s="66"/>
    </row>
    <row r="35" spans="1:17" x14ac:dyDescent="0.35">
      <c r="A35" s="102"/>
      <c r="B35" s="232"/>
      <c r="C35" s="206" t="str">
        <f>IF(
  ROWS($C$33:C35)&lt;= $C$32,
  $C$25 &amp; "-" &amp; C$31 &amp; ROWS($C$33:C35),
  ""
)</f>
        <v/>
      </c>
      <c r="D35" s="207" t="str">
        <f>IF(
  ROWS($D$33:D35)&lt;= $D$32,
  $C$25 &amp; "-" &amp; D$31 &amp; ROWS($D$33:D35),
  ""
)</f>
        <v/>
      </c>
      <c r="E35" s="207" t="str">
        <f>IF(
  ROWS($E$33:E35)&lt;= $E$32,
  $C$25 &amp; "-" &amp; E$31 &amp; ROWS($E$33:E35),
  ""
)</f>
        <v/>
      </c>
      <c r="F35" s="208" t="str">
        <f>IF(
  ROWS($F$33:F35)&lt;= $F$32,
  $C$25 &amp; "-" &amp; F$31 &amp; ROWS($F$33:F35),
  ""
)</f>
        <v/>
      </c>
      <c r="G35" s="88"/>
      <c r="H35" s="103"/>
      <c r="I35" s="63"/>
      <c r="J35" s="46"/>
      <c r="K35" s="57" t="s">
        <v>118</v>
      </c>
      <c r="L35" s="44" t="str">
        <f>IF(OR(D8=1,D8=2,D8=3,D8=4,D8=5,D8=6,D8=7,D8=8),"Per Supplier design.","")</f>
        <v>Per Supplier design.</v>
      </c>
      <c r="M35" s="44" t="str">
        <f>IF(OR($D$8=2,$D$8=3,$D$8=4,$D$8=5,$D$8=6,$D$8=7,$D$8=8),"Per Supplier design.","")</f>
        <v>Per Supplier design.</v>
      </c>
      <c r="N35" s="44" t="str">
        <f>IF(OR($D$8=3,$D$8=4,$D$8=5,$D$8=6,$D$8=7,$D$8=8),"Per Supplier design.","")</f>
        <v>Per Supplier design.</v>
      </c>
      <c r="O35" s="73" t="str">
        <f>IF(OR($D$8=4,$D$8=5,$D$8=6,$D$8=7,$D$8=8),"Per Supplier design.","")</f>
        <v>Per Supplier design.</v>
      </c>
      <c r="P35" s="66"/>
    </row>
    <row r="36" spans="1:17" x14ac:dyDescent="0.35">
      <c r="A36" s="102"/>
      <c r="B36" s="232"/>
      <c r="C36" s="206" t="str">
        <f>IF(
  ROWS($C$33:C36)&lt;= $C$32,
  $C$25 &amp; "-" &amp; C$31 &amp; ROWS($C$33:C36),
  ""
)</f>
        <v/>
      </c>
      <c r="D36" s="207" t="str">
        <f>IF(
  ROWS($D$33:D36)&lt;= $D$32,
  $C$25 &amp; "-" &amp; D$31 &amp; ROWS($D$33:D36),
  ""
)</f>
        <v/>
      </c>
      <c r="E36" s="207" t="str">
        <f>IF(
  ROWS($E$33:E36)&lt;= $E$32,
  $C$25 &amp; "-" &amp; E$31 &amp; ROWS($E$33:E36),
  ""
)</f>
        <v/>
      </c>
      <c r="F36" s="208" t="str">
        <f>IF(
  ROWS($F$33:F36)&lt;= $F$32,
  $C$25 &amp; "-" &amp; F$31 &amp; ROWS($F$33:F36),
  ""
)</f>
        <v/>
      </c>
      <c r="G36" s="88"/>
      <c r="H36" s="103"/>
      <c r="I36" s="63"/>
      <c r="J36" s="46"/>
      <c r="K36" s="57" t="s">
        <v>92</v>
      </c>
      <c r="L36" s="44">
        <f>IF(OR(D8=1,D8=2,D8=3,D8=4,D8=5,D8=6,D8=7,D8=8),IF($C$39&lt;&gt;"",$C$39,"Per Supplier design."),"")</f>
        <v>4</v>
      </c>
      <c r="M36" s="44">
        <f>IF(OR($D$8=2,$D$8=3,$D$8=4,$D$8=5,$D$8=6,$D$8=7,$D$8=8),IF($C$65&lt;&gt;"",$C$65,"Per Supplier design."),"")</f>
        <v>4</v>
      </c>
      <c r="N36" s="44">
        <f>IF(OR($D$8=3,$D$8=4,$D$8=5,$D$8=6,$D$8=7,$D$8=8),IF($C$91&lt;&gt;"",$C$65,"Per Supplier design."),"")</f>
        <v>4</v>
      </c>
      <c r="O36" s="73">
        <f>IF(OR($D$8=4,$D$8=5,$D$8=6,$D$8=7,$D$8=8),IF($C$117&lt;&gt;"",$C$65,"Per Supplier design."),"")</f>
        <v>4</v>
      </c>
      <c r="P36" s="66"/>
    </row>
    <row r="37" spans="1:17" x14ac:dyDescent="0.35">
      <c r="A37" s="102"/>
      <c r="B37" s="232"/>
      <c r="C37" s="206" t="str">
        <f>IF(
  ROWS($C$33:C37)&lt;= $C$32,
  $C$25 &amp; "-" &amp; C$31 &amp; ROWS($C$33:C37),
  ""
)</f>
        <v/>
      </c>
      <c r="D37" s="207" t="str">
        <f>IF(
  ROWS($D$33:D37)&lt;= $D$32,
  $C$25 &amp; "-" &amp; D$31 &amp; ROWS($D$33:D37),
  ""
)</f>
        <v/>
      </c>
      <c r="E37" s="207" t="str">
        <f>IF(
  ROWS($E$33:E37)&lt;= $E$32,
  $C$25 &amp; "-" &amp; E$31 &amp; ROWS($E$33:E37),
  ""
)</f>
        <v/>
      </c>
      <c r="F37" s="208" t="str">
        <f>IF(
  ROWS($F$33:F37)&lt;= $F$32,
  $C$25 &amp; "-" &amp; F$31 &amp; ROWS($F$33:F37),
  ""
)</f>
        <v/>
      </c>
      <c r="G37" s="88"/>
      <c r="H37" s="103"/>
      <c r="I37" s="63"/>
      <c r="J37" s="46"/>
      <c r="K37" s="58" t="s">
        <v>91</v>
      </c>
      <c r="L37" s="44">
        <f>IF(OR(D8=1,D8=2,D8=3,D8=4,D8=5,D8=6,D8=7,D8=8),$C$43,"")</f>
        <v>2</v>
      </c>
      <c r="M37" s="44">
        <f>IF(OR($D$8=2,$D$8=3,$D$8=4,$D$8=5,$D$8=6,$D$8=7,$D$8=8),$C$69,"")</f>
        <v>2</v>
      </c>
      <c r="N37" s="44">
        <f>IF(OR($D$8=3,$D$8=4,$D$8=5,$D$8=6,$D$8=7,$D$8=8),$C$95,"")</f>
        <v>2</v>
      </c>
      <c r="O37" s="73">
        <f>IF(OR($D$8=4,$D$8=5,$D$8=6,$D$8=7,$D$8=8),$C$95,"")</f>
        <v>2</v>
      </c>
      <c r="P37" s="66"/>
    </row>
    <row r="38" spans="1:17" ht="13.5" thickBot="1" x14ac:dyDescent="0.4">
      <c r="A38" s="102"/>
      <c r="B38" s="232"/>
      <c r="C38" s="209" t="str">
        <f>IF(
  ROWS($C$33:C38)&lt;= $C$32,
  $C$25 &amp; "-" &amp; C$31 &amp; ROWS($C$33:C38),
  ""
)</f>
        <v/>
      </c>
      <c r="D38" s="210" t="str">
        <f>IF(
  ROWS($D$33:D38)&lt;= $D$32,
  $C$25 &amp; "-" &amp; D$31 &amp; ROWS($D$33:D38),
  ""
)</f>
        <v/>
      </c>
      <c r="E38" s="210" t="str">
        <f>IF(
  ROWS($E$33:E38)&lt;= $E$32,
  $C$25 &amp; "-" &amp; E$31 &amp; ROWS($E$33:E38),
  ""
)</f>
        <v/>
      </c>
      <c r="F38" s="211" t="str">
        <f>IF(
  ROWS($F$33:F38)&lt;= $F$32,
  $C$25 &amp; "-" &amp; F$31 &amp; ROWS($F$33:F38),
  ""
)</f>
        <v/>
      </c>
      <c r="G38" s="88"/>
      <c r="H38" s="103"/>
      <c r="I38" s="63"/>
      <c r="J38" s="46"/>
      <c r="K38" s="57" t="s">
        <v>97</v>
      </c>
      <c r="L38" s="44" t="str">
        <f>IF(OR(D8=1,D8=2,D8=3,D8=4,D8=5,D8=6,D8=7,D8=8),"#10 Tefzel, 24 ft Long","")</f>
        <v>#10 Tefzel, 24 ft Long</v>
      </c>
      <c r="M38" s="44" t="str">
        <f>IF(OR($D$8=2,$D$8=3,$D$8=4,$D$8=5,$D$8=6,$D$8=7,$D$8=8),"#10 Tefzel, 24 ft Long","")</f>
        <v>#10 Tefzel, 24 ft Long</v>
      </c>
      <c r="N38" s="44" t="str">
        <f>IF(OR($D$8=3,$D$8=4,$D$8=5,$D$8=6,$D$8=7,$D$8=8),"#10 Tefzel, 24 ft Long","")</f>
        <v>#10 Tefzel, 24 ft Long</v>
      </c>
      <c r="O38" s="73" t="str">
        <f>IF(OR($D$8=4,$D$8=5,$D$8=6,$D$8=7,$D$8=8),"#10 Tefzel, 24 ft Long","")</f>
        <v>#10 Tefzel, 24 ft Long</v>
      </c>
      <c r="P38" s="66"/>
    </row>
    <row r="39" spans="1:17" ht="39" x14ac:dyDescent="0.35">
      <c r="A39" s="102"/>
      <c r="B39" s="84" t="s">
        <v>119</v>
      </c>
      <c r="C39" s="23">
        <v>4</v>
      </c>
      <c r="D39" s="85"/>
      <c r="E39" s="85"/>
      <c r="F39" s="85"/>
      <c r="G39" s="88"/>
      <c r="H39" s="103"/>
      <c r="I39" s="63"/>
      <c r="J39" s="46"/>
      <c r="K39" s="59" t="s">
        <v>98</v>
      </c>
      <c r="L39" s="47" t="str">
        <f>IF(OR(D8=1,D8=2,D8=3,D8=4,D8=5,D8=6,D8=7,D8=8),$C$44,"")</f>
        <v>This CT is intended for use inside a transformer filled with mineral oil.</v>
      </c>
      <c r="M39" s="47" t="str">
        <f>IF(OR($D$8=2,$D$8=3,$D$8=4,$D$8=5,$D$8=6,$D$8=7,$D$8=8),$C$70,"")</f>
        <v>This CT is intended for use inside a transformer filled with mineral oil.</v>
      </c>
      <c r="N39" s="47" t="str">
        <f>IF(OR($D$8=3,$D$8=4,$D$8=5,$D$8=6,$D$8=7,$D$8=8),$C$96,"")</f>
        <v>This CT is intended for use inside a transformer filled with mineral oil.</v>
      </c>
      <c r="O39" s="74" t="str">
        <f>IF(OR($D$8=4,$D$8=5,$D$8=6,$D$8=7,$D$8=8),$C$122,"")</f>
        <v>This CT is intended for use inside a transformer filled with mineral oil.</v>
      </c>
      <c r="P39" s="66"/>
    </row>
    <row r="40" spans="1:17" x14ac:dyDescent="0.35">
      <c r="A40" s="102"/>
      <c r="B40" s="84" t="s">
        <v>120</v>
      </c>
      <c r="C40" s="19" t="b">
        <f>IF(OR(C26="WTI", C26="LDC"),FALSE,TRUE)</f>
        <v>1</v>
      </c>
      <c r="D40" s="212" t="s">
        <v>190</v>
      </c>
      <c r="E40" s="85"/>
      <c r="F40" s="85"/>
      <c r="G40" s="88"/>
      <c r="H40" s="103"/>
      <c r="I40" s="63"/>
      <c r="J40" s="46"/>
      <c r="K40" s="59" t="s">
        <v>0</v>
      </c>
      <c r="L40" s="47" t="str">
        <f>IF(OR(D8=1,D8=2,D8=3,D8=4,D8=5,D8=6,D8=7,D8=8),$C$23,"")</f>
        <v>Metering</v>
      </c>
      <c r="M40" s="47" t="str">
        <f>IF(OR($D$8=2,$D$8=3,$D$8=4,$D$8=5,$D$8=6,$D$8=7,$D$8=8),$C$49,"")</f>
        <v>Differential CT</v>
      </c>
      <c r="N40" s="47" t="str">
        <f>IF(OR($D$8=3,$D$8=4,$D$8=5,$D$8=6,$D$8=7,$D$8=8),$C$75,"")</f>
        <v>LV WTI CT</v>
      </c>
      <c r="O40" s="74" t="str">
        <f>IF(OR($D$8=4,$D$8=5,$D$8=6,$D$8=7,$D$8=8),$C$101,"")</f>
        <v>LDC CT</v>
      </c>
      <c r="P40" s="66"/>
    </row>
    <row r="41" spans="1:17" x14ac:dyDescent="0.35">
      <c r="A41" s="102"/>
      <c r="B41" s="84" t="s">
        <v>121</v>
      </c>
      <c r="C41" s="19" t="b">
        <f>IF(OR(C26="WTI", C26="LDC"),FALSE,TRUE)</f>
        <v>1</v>
      </c>
      <c r="D41" s="212" t="s">
        <v>191</v>
      </c>
      <c r="E41" s="85"/>
      <c r="F41" s="85"/>
      <c r="G41" s="88"/>
      <c r="H41" s="103"/>
      <c r="I41" s="63"/>
      <c r="J41" s="46"/>
      <c r="K41" s="59" t="s">
        <v>89</v>
      </c>
      <c r="L41" s="47">
        <f>IF(OR(D8=1,D8=2,D8=3,D8=4,D8=5,D8=6,D8=7,D8=8),$C$32,"")</f>
        <v>0</v>
      </c>
      <c r="M41" s="47">
        <f>IF(OR($D$8=2,$D$8=3,$D$8=4,$D$8=5,$D$8=6,$D$8=7,$D$8=8),$C$58,"")</f>
        <v>0</v>
      </c>
      <c r="N41" s="47">
        <f>IF(OR($D$8=3,$D$8=4,$D$8=5,$D$8=6,$D$8=7,$D$8=8),$C$84,"")</f>
        <v>0</v>
      </c>
      <c r="O41" s="74">
        <f>IF(OR($D$8=4,$D$8=5,$D$8=6,$D$8=7,$D$8=8),$C$110,"")</f>
        <v>0</v>
      </c>
      <c r="P41" s="66"/>
    </row>
    <row r="42" spans="1:17" x14ac:dyDescent="0.35">
      <c r="A42" s="102"/>
      <c r="B42" s="84" t="str">
        <f>IF(C40=TRUE, "Ratio Type", "")</f>
        <v>Ratio Type</v>
      </c>
      <c r="C42" s="14" t="s">
        <v>30</v>
      </c>
      <c r="D42" s="85"/>
      <c r="E42" s="85"/>
      <c r="F42" s="85"/>
      <c r="G42" s="88"/>
      <c r="H42" s="103"/>
      <c r="I42" s="63"/>
      <c r="J42" s="46"/>
      <c r="K42" s="59" t="s">
        <v>146</v>
      </c>
      <c r="L42" s="47">
        <f>IF(OR(D8=1,D8=2,D8=3,D8=4,D8=5,D8=6,D8=7,D8=8),$D$32,"")</f>
        <v>1</v>
      </c>
      <c r="M42" s="47">
        <f>IF(OR($D$8=2,$D$8=3,$D$8=4,$D$8=5,$D$8=6,$D$8=7,$D$8=8),$D$58,"")</f>
        <v>1</v>
      </c>
      <c r="N42" s="47">
        <f>IF(OR(,$D$8=3,$D$8=4,$D$8=5,$D$8=6,$D$8=7,$D$8=8),$D$84,"")</f>
        <v>0</v>
      </c>
      <c r="O42" s="74">
        <f>IF(OR($D$8=4,$D$8=5,$D$8=6,$D$8=7,$D$8=8),$D$110,"")</f>
        <v>1</v>
      </c>
      <c r="P42" s="66"/>
    </row>
    <row r="43" spans="1:17" x14ac:dyDescent="0.35">
      <c r="A43" s="102"/>
      <c r="B43" s="89" t="s">
        <v>91</v>
      </c>
      <c r="C43" s="39">
        <v>2</v>
      </c>
      <c r="D43" s="85"/>
      <c r="E43" s="85"/>
      <c r="F43" s="85"/>
      <c r="G43" s="88"/>
      <c r="H43" s="103"/>
      <c r="I43" s="63"/>
      <c r="J43" s="46"/>
      <c r="K43" s="59" t="s">
        <v>148</v>
      </c>
      <c r="L43" s="47">
        <f>IF(OR(D8=1,D8=2,D8=3,D8=4,D8=5,D8=6,D8=7,D8=8),$E$32,"")</f>
        <v>1</v>
      </c>
      <c r="M43" s="47">
        <f>IF(OR($D$8=2,$D$8=3,$D$8=4,$D$8=5,$D$8=6,$D$8=7,$D$8=8),$E$58,"")</f>
        <v>1</v>
      </c>
      <c r="N43" s="47">
        <f>IF(OR($D$8=3,$D$8=4,$D$8=5,$D$8=6,$D$8=7,$D$8=8),$E$84,"")</f>
        <v>1</v>
      </c>
      <c r="O43" s="74">
        <f>IF(OR($D$8=4,$D$8=5,$D$8=6,$D$8=7,$D$8=8),$E$110,"")</f>
        <v>0</v>
      </c>
      <c r="P43" s="66"/>
    </row>
    <row r="44" spans="1:17" x14ac:dyDescent="0.35">
      <c r="A44" s="102"/>
      <c r="B44" s="233" t="s">
        <v>96</v>
      </c>
      <c r="C44" s="234" t="s">
        <v>103</v>
      </c>
      <c r="D44" s="234"/>
      <c r="E44" s="234"/>
      <c r="F44" s="234"/>
      <c r="G44" s="88"/>
      <c r="H44" s="103"/>
      <c r="I44" s="63"/>
      <c r="J44" s="46"/>
      <c r="K44" s="59" t="s">
        <v>150</v>
      </c>
      <c r="L44" s="47">
        <f>$F$32</f>
        <v>1</v>
      </c>
      <c r="M44" s="47">
        <f>IF(OR($D$8=2,$D$8=3,$D$8=4,$D$8=5,$D$8=6,$D$8=7,$D$8=8),$F$58,"")</f>
        <v>1</v>
      </c>
      <c r="N44" s="47">
        <f>IF(OR($D$8=3,$D$8=4,$D$8=5,$D$8=6,$D$8=7,$D$8=8),$F$84,"")</f>
        <v>0</v>
      </c>
      <c r="O44" s="74">
        <f>IF(OR($D$8=4,$D$8=5,$D$8=6,$D$8=7,$D$8=8),$F$110,"")</f>
        <v>0</v>
      </c>
      <c r="P44" s="66"/>
    </row>
    <row r="45" spans="1:17" x14ac:dyDescent="0.35">
      <c r="A45" s="102"/>
      <c r="B45" s="233"/>
      <c r="C45" s="234"/>
      <c r="D45" s="234"/>
      <c r="E45" s="234"/>
      <c r="F45" s="234"/>
      <c r="G45" s="88"/>
      <c r="H45" s="103"/>
      <c r="I45" s="63"/>
      <c r="J45" s="46"/>
      <c r="K45" s="59" t="s">
        <v>104</v>
      </c>
      <c r="L45" s="47">
        <f>SUM(L41:L44)</f>
        <v>3</v>
      </c>
      <c r="M45" s="47">
        <f>IF(OR($D$8=2,$D$8=3,$D$8=4,$D$8=5,$D$8=6,$D$8=7,$D$8=8),SUM(M41:M44),"")</f>
        <v>3</v>
      </c>
      <c r="N45" s="47">
        <f>IF(OR($D$8=3,$D$8=4,$D$8=5,$D$8=6,$D$8=7,$D$8=8),SUM(N41:N44),"")</f>
        <v>1</v>
      </c>
      <c r="O45" s="74">
        <f>IF(OR($D$8=4,$D$8=5,$D$8=6,$D$8=7,$D$8=8),SUM(O41:O44),"")</f>
        <v>1</v>
      </c>
      <c r="P45" s="66"/>
    </row>
    <row r="46" spans="1:17" ht="13.5" thickBot="1" x14ac:dyDescent="0.4">
      <c r="A46" s="102"/>
      <c r="B46" s="90"/>
      <c r="C46" s="85"/>
      <c r="D46" s="85"/>
      <c r="E46" s="85"/>
      <c r="F46" s="85"/>
      <c r="G46" s="88"/>
      <c r="H46" s="103"/>
      <c r="I46" s="63"/>
      <c r="J46" s="46"/>
      <c r="K46" s="82"/>
      <c r="L46" s="68"/>
      <c r="M46" s="68"/>
      <c r="N46" s="68" t="s">
        <v>173</v>
      </c>
      <c r="O46" s="83">
        <f>SUM(L45:O45)</f>
        <v>8</v>
      </c>
      <c r="P46" s="66"/>
    </row>
    <row r="47" spans="1:17" ht="13.5" thickBot="1" x14ac:dyDescent="0.4">
      <c r="A47" s="102"/>
      <c r="B47" s="91"/>
      <c r="C47" s="92"/>
      <c r="D47" s="92"/>
      <c r="E47" s="92"/>
      <c r="F47" s="92"/>
      <c r="G47" s="93"/>
      <c r="H47" s="103"/>
      <c r="I47" s="63"/>
      <c r="J47" s="46"/>
      <c r="K47" s="46"/>
      <c r="L47" s="46"/>
      <c r="M47" s="46"/>
      <c r="N47" s="51"/>
      <c r="O47" s="46"/>
      <c r="P47" s="66"/>
    </row>
    <row r="48" spans="1:17" ht="13.5" thickBot="1" x14ac:dyDescent="0.4">
      <c r="A48" s="102"/>
      <c r="B48" s="102"/>
      <c r="C48" s="103"/>
      <c r="D48" s="103"/>
      <c r="E48" s="103"/>
      <c r="F48" s="103"/>
      <c r="G48" s="102"/>
      <c r="H48" s="103"/>
      <c r="I48" s="63"/>
      <c r="J48" s="63"/>
      <c r="K48" s="64"/>
      <c r="L48" s="63"/>
      <c r="M48" s="63"/>
      <c r="N48" s="63"/>
      <c r="O48" s="63"/>
      <c r="P48" s="63"/>
      <c r="Q48" s="63"/>
    </row>
    <row r="49" spans="1:25" x14ac:dyDescent="0.35">
      <c r="A49" s="102"/>
      <c r="B49" s="235" t="s">
        <v>0</v>
      </c>
      <c r="C49" s="214" t="s">
        <v>182</v>
      </c>
      <c r="D49" s="214"/>
      <c r="E49" s="214"/>
      <c r="F49" s="214"/>
      <c r="G49" s="237">
        <v>2</v>
      </c>
      <c r="H49" s="103"/>
      <c r="I49" s="63"/>
      <c r="J49" s="63"/>
      <c r="K49" s="64"/>
      <c r="L49" s="63"/>
      <c r="M49" s="63"/>
      <c r="N49" s="63"/>
      <c r="O49" s="63"/>
      <c r="P49" s="63"/>
      <c r="Q49" s="63"/>
    </row>
    <row r="50" spans="1:25" x14ac:dyDescent="0.35">
      <c r="A50" s="102"/>
      <c r="B50" s="236"/>
      <c r="C50" s="215"/>
      <c r="D50" s="215"/>
      <c r="E50" s="215"/>
      <c r="F50" s="215"/>
      <c r="G50" s="238"/>
      <c r="H50" s="103"/>
      <c r="I50" s="63"/>
      <c r="J50" s="63"/>
      <c r="K50" s="64"/>
      <c r="L50" s="63"/>
      <c r="M50" s="63"/>
      <c r="N50" s="63"/>
      <c r="O50" s="63"/>
      <c r="P50" s="63"/>
      <c r="Q50" s="63"/>
    </row>
    <row r="51" spans="1:25" x14ac:dyDescent="0.35">
      <c r="A51" s="102"/>
      <c r="B51" s="84" t="s">
        <v>82</v>
      </c>
      <c r="C51" s="24" t="s">
        <v>192</v>
      </c>
      <c r="D51" s="85"/>
      <c r="E51" s="85"/>
      <c r="F51" s="85"/>
      <c r="G51" s="86"/>
      <c r="H51" s="103"/>
      <c r="I51" s="63"/>
      <c r="J51" s="63"/>
      <c r="K51" s="64"/>
      <c r="L51" s="63"/>
      <c r="M51" s="63"/>
      <c r="N51" s="63"/>
      <c r="O51" s="63"/>
      <c r="P51" s="63"/>
      <c r="Q51" s="63"/>
      <c r="R51" s="63"/>
    </row>
    <row r="52" spans="1:25" x14ac:dyDescent="0.35">
      <c r="A52" s="102"/>
      <c r="B52" s="84" t="s">
        <v>9</v>
      </c>
      <c r="C52" s="16" t="s">
        <v>16</v>
      </c>
      <c r="D52" s="85"/>
      <c r="E52" s="85" t="str">
        <f>IF(OR(C52="WTI", C52="LDC"),"CT Accuracy", "")</f>
        <v/>
      </c>
      <c r="F52" s="14"/>
      <c r="G52" s="86"/>
      <c r="H52" s="103"/>
      <c r="I52" s="63"/>
      <c r="J52" s="63"/>
      <c r="K52" s="64"/>
      <c r="L52" s="63"/>
      <c r="M52" s="63"/>
      <c r="N52" s="63"/>
      <c r="O52" s="63"/>
      <c r="P52" s="63"/>
      <c r="Q52" s="63"/>
      <c r="R52" s="63"/>
    </row>
    <row r="53" spans="1:25" x14ac:dyDescent="0.35">
      <c r="A53" s="102"/>
      <c r="B53" s="84" t="s">
        <v>10</v>
      </c>
      <c r="C53" s="16" t="s">
        <v>18</v>
      </c>
      <c r="D53" s="85"/>
      <c r="E53" s="85"/>
      <c r="F53" s="85"/>
      <c r="G53" s="86"/>
      <c r="H53" s="103"/>
      <c r="I53" s="63"/>
      <c r="J53" s="63"/>
      <c r="K53" s="64"/>
      <c r="L53" s="63"/>
      <c r="M53" s="63"/>
      <c r="N53" s="63"/>
      <c r="O53" s="63"/>
      <c r="P53" s="63"/>
      <c r="Q53" s="63"/>
      <c r="R53" s="63"/>
      <c r="S53" s="65"/>
      <c r="T53" s="65"/>
      <c r="U53" s="65"/>
      <c r="V53" s="65"/>
      <c r="W53" s="65"/>
      <c r="X53" s="63"/>
      <c r="Y53" s="63"/>
    </row>
    <row r="54" spans="1:25" x14ac:dyDescent="0.35">
      <c r="A54" s="102"/>
      <c r="B54" s="84" t="s">
        <v>90</v>
      </c>
      <c r="C54" s="17">
        <v>4</v>
      </c>
      <c r="D54" s="85"/>
      <c r="E54" s="85"/>
      <c r="F54" s="85"/>
      <c r="G54" s="86"/>
      <c r="H54" s="103"/>
      <c r="I54" s="63"/>
      <c r="J54" s="63"/>
      <c r="K54" s="64"/>
      <c r="L54" s="63"/>
      <c r="M54" s="63"/>
      <c r="N54" s="63"/>
      <c r="O54" s="63"/>
      <c r="P54" s="63"/>
      <c r="Q54" s="63"/>
      <c r="R54" s="63"/>
      <c r="S54" s="65"/>
      <c r="T54" s="65"/>
      <c r="U54" s="65"/>
      <c r="V54" s="65"/>
      <c r="W54" s="65"/>
      <c r="X54" s="63"/>
      <c r="Y54" s="63"/>
    </row>
    <row r="55" spans="1:25" x14ac:dyDescent="0.35">
      <c r="A55" s="102"/>
      <c r="B55" s="84" t="s">
        <v>2</v>
      </c>
      <c r="C55" s="14" t="s">
        <v>26</v>
      </c>
      <c r="D55" s="85"/>
      <c r="E55" s="85"/>
      <c r="F55" s="85"/>
      <c r="G55" s="86"/>
      <c r="H55" s="103"/>
      <c r="I55" s="63"/>
      <c r="J55" s="63"/>
      <c r="K55" s="64"/>
      <c r="L55" s="63"/>
      <c r="M55" s="63"/>
      <c r="N55" s="63"/>
      <c r="O55" s="63"/>
      <c r="P55" s="63"/>
      <c r="Q55" s="63"/>
      <c r="R55" s="63"/>
      <c r="S55" s="65"/>
      <c r="T55" s="65"/>
      <c r="U55" s="65"/>
      <c r="V55" s="65"/>
      <c r="W55" s="63"/>
      <c r="X55" s="63"/>
      <c r="Y55" s="63"/>
    </row>
    <row r="56" spans="1:25" ht="13.5" thickBot="1" x14ac:dyDescent="0.4">
      <c r="A56" s="102"/>
      <c r="B56" s="84" t="s">
        <v>3</v>
      </c>
      <c r="C56" s="31" t="s">
        <v>14</v>
      </c>
      <c r="D56" s="85"/>
      <c r="E56" s="85"/>
      <c r="F56" s="85"/>
      <c r="G56" s="86"/>
      <c r="H56" s="103"/>
      <c r="I56" s="63"/>
      <c r="J56" s="63"/>
      <c r="K56" s="64"/>
      <c r="L56" s="63"/>
      <c r="M56" s="63"/>
      <c r="N56" s="63"/>
      <c r="O56" s="63"/>
      <c r="P56" s="63"/>
      <c r="Q56" s="63"/>
      <c r="R56" s="63"/>
      <c r="S56" s="65"/>
      <c r="T56" s="65"/>
      <c r="U56" s="65"/>
      <c r="V56" s="65"/>
      <c r="W56" s="63"/>
      <c r="X56" s="63"/>
      <c r="Y56" s="63"/>
    </row>
    <row r="57" spans="1:25" x14ac:dyDescent="0.35">
      <c r="A57" s="102"/>
      <c r="B57" s="87" t="s">
        <v>85</v>
      </c>
      <c r="C57" s="32" t="s">
        <v>89</v>
      </c>
      <c r="D57" s="33" t="s">
        <v>146</v>
      </c>
      <c r="E57" s="33" t="s">
        <v>148</v>
      </c>
      <c r="F57" s="34" t="s">
        <v>150</v>
      </c>
      <c r="G57" s="86"/>
      <c r="H57" s="103"/>
      <c r="I57" s="63"/>
      <c r="J57" s="63"/>
      <c r="K57" s="64"/>
      <c r="L57" s="63"/>
      <c r="M57" s="63"/>
      <c r="N57" s="63"/>
      <c r="O57" s="63"/>
      <c r="P57" s="63"/>
      <c r="Q57" s="63"/>
      <c r="R57" s="63"/>
      <c r="S57" s="65"/>
      <c r="T57" s="65"/>
      <c r="U57" s="65"/>
      <c r="V57" s="65"/>
      <c r="W57" s="63"/>
      <c r="X57" s="63"/>
      <c r="Y57" s="63"/>
    </row>
    <row r="58" spans="1:25" x14ac:dyDescent="0.35">
      <c r="A58" s="102"/>
      <c r="B58" s="87" t="s">
        <v>84</v>
      </c>
      <c r="C58" s="35">
        <v>0</v>
      </c>
      <c r="D58" s="14">
        <v>1</v>
      </c>
      <c r="E58" s="14">
        <v>1</v>
      </c>
      <c r="F58" s="36">
        <v>1</v>
      </c>
      <c r="G58" s="86"/>
      <c r="H58" s="103"/>
      <c r="I58" s="63"/>
      <c r="J58" s="63"/>
      <c r="K58" s="64"/>
      <c r="L58" s="63"/>
      <c r="M58" s="63"/>
      <c r="N58" s="63"/>
      <c r="O58" s="63"/>
      <c r="P58" s="63"/>
      <c r="Q58" s="63"/>
      <c r="R58" s="63"/>
      <c r="S58" s="65"/>
      <c r="T58" s="65"/>
      <c r="U58" s="65"/>
      <c r="V58" s="65"/>
      <c r="W58" s="63"/>
      <c r="X58" s="63"/>
      <c r="Y58" s="63"/>
    </row>
    <row r="59" spans="1:25" x14ac:dyDescent="0.35">
      <c r="A59" s="102"/>
      <c r="B59" s="232" t="s">
        <v>86</v>
      </c>
      <c r="C59" s="206" t="str">
        <f>IF(
  ROWS($C$59:C59)&lt;= $C$58,
  $C$51 &amp; "-" &amp; C$57 &amp; ROWS($C$59:C59),
  ""
)</f>
        <v/>
      </c>
      <c r="D59" s="207" t="str">
        <f>IF(
  ROWS($D$59:D59)&lt;= $D$58,
  $C$51 &amp; "-" &amp; D$57 &amp; ROWS($D$59:D59),
  ""
)</f>
        <v>CT4-X11</v>
      </c>
      <c r="E59" s="207" t="str">
        <f>IF(
  ROWS($E$59:E59)&lt;= $E$58,
  $C$51 &amp; "-" &amp; E$57 &amp; ROWS($E$59:E59),
  ""
)</f>
        <v>CT4-X21</v>
      </c>
      <c r="F59" s="208" t="str">
        <f>IF(
  ROWS($F$59:F59)&lt;= $F$58,
  $C$51 &amp; "-" &amp; F$57 &amp; ROWS($F$59:F59),
  ""
)</f>
        <v>CT4-X31</v>
      </c>
      <c r="G59" s="86"/>
      <c r="H59" s="103"/>
      <c r="I59" s="63"/>
      <c r="J59" s="63"/>
      <c r="K59" s="64"/>
      <c r="L59" s="63"/>
      <c r="M59" s="63"/>
      <c r="N59" s="63"/>
      <c r="O59" s="63"/>
      <c r="P59" s="63"/>
      <c r="Q59" s="63"/>
      <c r="R59" s="63"/>
      <c r="S59" s="65"/>
      <c r="T59" s="65"/>
      <c r="U59" s="65"/>
      <c r="V59" s="65"/>
      <c r="W59" s="63"/>
      <c r="X59" s="63"/>
      <c r="Y59" s="63"/>
    </row>
    <row r="60" spans="1:25" x14ac:dyDescent="0.35">
      <c r="A60" s="102"/>
      <c r="B60" s="232"/>
      <c r="C60" s="206" t="str">
        <f>IF(
  ROWS($C$59:C60)&lt;= $C$58,
  $C$51 &amp; "-" &amp; C$57 &amp; ROWS($C$59:C60),
  ""
)</f>
        <v/>
      </c>
      <c r="D60" s="207" t="str">
        <f>IF(
  ROWS($D$59:D60)&lt;= $D$58,
  $C$51 &amp; "-" &amp; D$57 &amp; ROWS($D$59:D60),
  ""
)</f>
        <v/>
      </c>
      <c r="E60" s="207" t="str">
        <f>IF(
  ROWS($E$59:E60)&lt;= $E$58,
  $C$51 &amp; "-" &amp; E$57 &amp; ROWS($E$59:E60),
  ""
)</f>
        <v/>
      </c>
      <c r="F60" s="208" t="str">
        <f>IF(
  ROWS($F$59:F60)&lt;= $F$58,
  $C$25 &amp; "-" &amp; F$57 &amp; ROWS($F$59:F60),
  ""
)</f>
        <v/>
      </c>
      <c r="G60" s="86"/>
      <c r="H60" s="103"/>
      <c r="I60" s="63"/>
      <c r="J60" s="63"/>
      <c r="K60" s="64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</row>
    <row r="61" spans="1:25" x14ac:dyDescent="0.35">
      <c r="A61" s="102"/>
      <c r="B61" s="232"/>
      <c r="C61" s="206" t="str">
        <f>IF(
  ROWS($C$59:C61)&lt;= $C$58,
  $C$51 &amp; "-" &amp; C$57 &amp; ROWS($C$59:C61),
  ""
)</f>
        <v/>
      </c>
      <c r="D61" s="207" t="str">
        <f>IF(
  ROWS($D$59:D61)&lt;= $D$58,
  $C$51 &amp; "-" &amp; D$57 &amp; ROWS($D$59:D61),
  ""
)</f>
        <v/>
      </c>
      <c r="E61" s="207" t="str">
        <f>IF(
  ROWS($E$59:E61)&lt;= $E$58,
  $C$51 &amp; "-" &amp; E$57 &amp; ROWS($E$59:E61),
  ""
)</f>
        <v/>
      </c>
      <c r="F61" s="208" t="str">
        <f>IF(
  ROWS($F$59:F61)&lt;= $F$58,
  $C$25 &amp; "-" &amp; F$57 &amp; ROWS($F$59:F61),
  ""
)</f>
        <v/>
      </c>
      <c r="G61" s="86"/>
      <c r="H61" s="103"/>
      <c r="I61" s="63"/>
      <c r="J61" s="63"/>
      <c r="K61" s="64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</row>
    <row r="62" spans="1:25" x14ac:dyDescent="0.35">
      <c r="A62" s="102"/>
      <c r="B62" s="232"/>
      <c r="C62" s="206" t="str">
        <f>IF(
  ROWS($C$59:C62)&lt;= $C$58,
  $C$51 &amp; "-" &amp; C$57 &amp; ROWS($C$59:C62),
  ""
)</f>
        <v/>
      </c>
      <c r="D62" s="207" t="str">
        <f>IF(
  ROWS($D$59:D62)&lt;= $D$58,
  $C$51 &amp; "-" &amp; D$57 &amp; ROWS($D$59:D62),
  ""
)</f>
        <v/>
      </c>
      <c r="E62" s="207" t="str">
        <f>IF(
  ROWS($E$59:E62)&lt;= $E$58,
  $C$51 &amp; "-" &amp; E$57 &amp; ROWS($E$59:E62),
  ""
)</f>
        <v/>
      </c>
      <c r="F62" s="208" t="str">
        <f>IF(
  ROWS($F$59:F62)&lt;= $F$58,
  $C$25 &amp; "-" &amp; F$57 &amp; ROWS($F$59:F62),
  ""
)</f>
        <v/>
      </c>
      <c r="G62" s="86"/>
      <c r="H62" s="103"/>
      <c r="I62" s="63"/>
      <c r="J62" s="63"/>
      <c r="K62" s="64"/>
      <c r="L62" s="63"/>
      <c r="M62" s="63"/>
      <c r="N62" s="63"/>
      <c r="O62" s="63"/>
      <c r="P62" s="63"/>
      <c r="Q62" s="63"/>
      <c r="R62" s="63"/>
      <c r="S62" s="65"/>
      <c r="T62" s="65"/>
      <c r="U62" s="65"/>
      <c r="V62" s="65"/>
      <c r="W62" s="65"/>
      <c r="X62" s="63"/>
      <c r="Y62" s="63"/>
    </row>
    <row r="63" spans="1:25" x14ac:dyDescent="0.35">
      <c r="A63" s="102"/>
      <c r="B63" s="232"/>
      <c r="C63" s="206" t="str">
        <f>IF(
  ROWS($C$59:C63)&lt;= $C$58,
  $C$51 &amp; "-" &amp; C$57 &amp; ROWS($C$59:C63),
  ""
)</f>
        <v/>
      </c>
      <c r="D63" s="207" t="str">
        <f>IF(
  ROWS($D$59:D63)&lt;= $D$58,
  $C$51 &amp; "-" &amp; D$57 &amp; ROWS($D$59:D63),
  ""
)</f>
        <v/>
      </c>
      <c r="E63" s="207" t="str">
        <f>IF(
  ROWS($E$59:E63)&lt;= $E$58,
  $C$51 &amp; "-" &amp; E$57 &amp; ROWS($E$59:E63),
  ""
)</f>
        <v/>
      </c>
      <c r="F63" s="208" t="str">
        <f>IF(
  ROWS($F$59:F63)&lt;= $F$58,
  $C$25 &amp; "-" &amp; F$57 &amp; ROWS($F$59:F63),
  ""
)</f>
        <v/>
      </c>
      <c r="G63" s="86"/>
      <c r="H63" s="103"/>
      <c r="I63" s="63"/>
      <c r="J63" s="63"/>
      <c r="K63" s="64"/>
      <c r="L63" s="63"/>
      <c r="M63" s="63"/>
      <c r="N63" s="63"/>
      <c r="O63" s="63"/>
      <c r="P63" s="63"/>
      <c r="Q63" s="63"/>
      <c r="R63" s="63"/>
      <c r="S63" s="65"/>
      <c r="T63" s="65"/>
      <c r="U63" s="65"/>
      <c r="V63" s="65"/>
      <c r="W63" s="65"/>
      <c r="X63" s="63"/>
      <c r="Y63" s="63"/>
    </row>
    <row r="64" spans="1:25" ht="13.5" thickBot="1" x14ac:dyDescent="0.4">
      <c r="A64" s="102"/>
      <c r="B64" s="232"/>
      <c r="C64" s="209" t="str">
        <f>IF(
  ROWS($C$59:C64)&lt;= $C$58,
  $C$51 &amp; "-" &amp; C$57 &amp; ROWS($C$59:C64),
  ""
)</f>
        <v/>
      </c>
      <c r="D64" s="210" t="str">
        <f>IF(
  ROWS($D$59:D64)&lt;= $D$58,
  $C$51 &amp; "-" &amp; D$57 &amp; ROWS($D$59:D64),
  ""
)</f>
        <v/>
      </c>
      <c r="E64" s="210" t="str">
        <f>IF(
  ROWS($E$59:E64)&lt;= $E$58,
  $C$51 &amp; "-" &amp; E$57 &amp; ROWS($E$59:E64),
  ""
)</f>
        <v/>
      </c>
      <c r="F64" s="211" t="str">
        <f>IF(
  ROWS($F$59:F64)&lt;= $F$58,
  $C$25 &amp; "-" &amp; F$57 &amp; ROWS($F$59:F64),
  ""
)</f>
        <v/>
      </c>
      <c r="G64" s="86"/>
      <c r="H64" s="103"/>
      <c r="I64" s="63"/>
      <c r="J64" s="63"/>
      <c r="K64" s="64"/>
      <c r="L64" s="63"/>
      <c r="M64" s="63"/>
      <c r="N64" s="63"/>
      <c r="O64" s="63"/>
      <c r="P64" s="63"/>
      <c r="Q64" s="63"/>
      <c r="R64" s="63"/>
      <c r="S64" s="65"/>
      <c r="T64" s="65"/>
      <c r="U64" s="65"/>
      <c r="V64" s="65"/>
      <c r="W64" s="65"/>
      <c r="X64" s="63"/>
      <c r="Y64" s="63"/>
    </row>
    <row r="65" spans="1:25" x14ac:dyDescent="0.35">
      <c r="A65" s="102"/>
      <c r="B65" s="84" t="s">
        <v>119</v>
      </c>
      <c r="C65" s="23">
        <v>4</v>
      </c>
      <c r="D65" s="85"/>
      <c r="E65" s="85"/>
      <c r="F65" s="85"/>
      <c r="G65" s="86"/>
      <c r="H65" s="103"/>
      <c r="I65" s="63"/>
      <c r="J65" s="63"/>
      <c r="K65" s="64"/>
      <c r="L65" s="63"/>
      <c r="M65" s="63"/>
      <c r="N65" s="63"/>
      <c r="O65" s="63"/>
      <c r="P65" s="63"/>
      <c r="Q65" s="63"/>
      <c r="R65" s="63"/>
      <c r="S65" s="65"/>
      <c r="T65" s="65"/>
      <c r="U65" s="65"/>
      <c r="V65" s="65"/>
      <c r="W65" s="65"/>
      <c r="X65" s="63"/>
      <c r="Y65" s="63"/>
    </row>
    <row r="66" spans="1:25" x14ac:dyDescent="0.35">
      <c r="A66" s="102"/>
      <c r="B66" s="84" t="s">
        <v>120</v>
      </c>
      <c r="C66" s="19" t="b">
        <f>IF(OR(C52="WTI", C52="LDC"),FALSE,TRUE)</f>
        <v>1</v>
      </c>
      <c r="D66" s="21">
        <v>2000</v>
      </c>
      <c r="E66" s="85"/>
      <c r="F66" s="85"/>
      <c r="G66" s="86"/>
      <c r="H66" s="103"/>
      <c r="I66" s="63"/>
      <c r="J66" s="63"/>
      <c r="K66" s="64"/>
      <c r="L66" s="63"/>
      <c r="M66" s="63"/>
      <c r="N66" s="63"/>
      <c r="O66" s="63"/>
      <c r="P66" s="63"/>
      <c r="Q66" s="63"/>
      <c r="R66" s="63"/>
      <c r="S66" s="65"/>
      <c r="T66" s="65"/>
      <c r="U66" s="65"/>
      <c r="V66" s="65"/>
      <c r="W66" s="65"/>
      <c r="X66" s="63"/>
      <c r="Y66" s="63"/>
    </row>
    <row r="67" spans="1:25" x14ac:dyDescent="0.35">
      <c r="A67" s="102"/>
      <c r="B67" s="84" t="s">
        <v>121</v>
      </c>
      <c r="C67" s="19" t="b">
        <f>IF(OR(C52="WTI", C52="LDC"),FALSE,TRUE)</f>
        <v>1</v>
      </c>
      <c r="D67" s="21" t="s">
        <v>186</v>
      </c>
      <c r="E67" s="85"/>
      <c r="F67" s="85"/>
      <c r="G67" s="86"/>
      <c r="H67" s="103"/>
      <c r="I67" s="63"/>
      <c r="J67" s="63"/>
      <c r="K67" s="64"/>
      <c r="L67" s="63"/>
      <c r="M67" s="63"/>
      <c r="N67" s="63"/>
      <c r="O67" s="63"/>
      <c r="P67" s="63"/>
      <c r="Q67" s="63"/>
      <c r="R67" s="63"/>
      <c r="S67" s="65"/>
      <c r="T67" s="65"/>
      <c r="U67" s="65"/>
      <c r="V67" s="65"/>
      <c r="W67" s="65"/>
      <c r="X67" s="63"/>
      <c r="Y67" s="63"/>
    </row>
    <row r="68" spans="1:25" x14ac:dyDescent="0.35">
      <c r="A68" s="102"/>
      <c r="B68" s="84" t="str">
        <f>IF(C66=TRUE, "Ratio Type", "")</f>
        <v>Ratio Type</v>
      </c>
      <c r="C68" s="14" t="s">
        <v>30</v>
      </c>
      <c r="D68" s="85"/>
      <c r="E68" s="85"/>
      <c r="F68" s="85"/>
      <c r="G68" s="86"/>
      <c r="H68" s="103"/>
      <c r="I68" s="63"/>
      <c r="J68" s="63"/>
      <c r="K68" s="64"/>
      <c r="L68" s="63"/>
      <c r="M68" s="63"/>
      <c r="N68" s="63"/>
      <c r="O68" s="63"/>
      <c r="P68" s="63"/>
      <c r="Q68" s="63"/>
      <c r="R68" s="63"/>
      <c r="S68" s="65"/>
      <c r="T68" s="65"/>
      <c r="U68" s="65"/>
      <c r="V68" s="65"/>
      <c r="W68" s="65"/>
      <c r="X68" s="63"/>
      <c r="Y68" s="63"/>
    </row>
    <row r="69" spans="1:25" x14ac:dyDescent="0.35">
      <c r="A69" s="102"/>
      <c r="B69" s="89" t="s">
        <v>91</v>
      </c>
      <c r="C69" s="20">
        <v>2</v>
      </c>
      <c r="D69" s="85"/>
      <c r="E69" s="85"/>
      <c r="F69" s="85"/>
      <c r="G69" s="86"/>
      <c r="H69" s="103"/>
      <c r="I69" s="63"/>
      <c r="J69" s="63"/>
      <c r="K69" s="64"/>
      <c r="L69" s="63"/>
      <c r="M69" s="63"/>
      <c r="N69" s="63"/>
      <c r="O69" s="63"/>
      <c r="P69" s="63"/>
      <c r="Q69" s="63"/>
      <c r="R69" s="63"/>
      <c r="S69" s="65"/>
      <c r="T69" s="65"/>
      <c r="U69" s="65"/>
      <c r="V69" s="65"/>
      <c r="W69" s="65"/>
      <c r="X69" s="63"/>
      <c r="Y69" s="63"/>
    </row>
    <row r="70" spans="1:25" x14ac:dyDescent="0.35">
      <c r="A70" s="102"/>
      <c r="B70" s="233" t="s">
        <v>96</v>
      </c>
      <c r="C70" s="234" t="s">
        <v>103</v>
      </c>
      <c r="D70" s="234"/>
      <c r="E70" s="234"/>
      <c r="F70" s="234"/>
      <c r="G70" s="86"/>
      <c r="H70" s="103"/>
      <c r="I70" s="63"/>
      <c r="J70" s="63"/>
      <c r="K70" s="64"/>
      <c r="L70" s="63"/>
      <c r="M70" s="63"/>
      <c r="N70" s="63"/>
      <c r="O70" s="63"/>
      <c r="P70" s="63"/>
      <c r="Q70" s="63"/>
      <c r="R70" s="63"/>
      <c r="S70" s="65"/>
      <c r="T70" s="65"/>
      <c r="U70" s="65"/>
      <c r="V70" s="65"/>
      <c r="W70" s="65"/>
      <c r="X70" s="63"/>
      <c r="Y70" s="63"/>
    </row>
    <row r="71" spans="1:25" x14ac:dyDescent="0.35">
      <c r="A71" s="102"/>
      <c r="B71" s="233"/>
      <c r="C71" s="234"/>
      <c r="D71" s="234"/>
      <c r="E71" s="234"/>
      <c r="F71" s="234"/>
      <c r="G71" s="86"/>
      <c r="H71" s="103"/>
      <c r="I71" s="63"/>
      <c r="J71" s="63"/>
      <c r="K71" s="64"/>
      <c r="L71" s="63"/>
      <c r="M71" s="63"/>
      <c r="N71" s="63"/>
      <c r="O71" s="63"/>
      <c r="P71" s="63"/>
      <c r="Q71" s="63"/>
      <c r="R71" s="63"/>
      <c r="S71" s="65"/>
      <c r="T71" s="65"/>
      <c r="U71" s="65"/>
      <c r="V71" s="65"/>
      <c r="W71" s="65"/>
      <c r="X71" s="63"/>
      <c r="Y71" s="63"/>
    </row>
    <row r="72" spans="1:25" x14ac:dyDescent="0.35">
      <c r="A72" s="102"/>
      <c r="B72" s="90"/>
      <c r="C72" s="85"/>
      <c r="D72" s="85"/>
      <c r="E72" s="85"/>
      <c r="F72" s="85"/>
      <c r="G72" s="86"/>
      <c r="H72" s="103"/>
      <c r="I72" s="63"/>
      <c r="J72" s="63"/>
      <c r="K72" s="64"/>
      <c r="L72" s="63"/>
      <c r="M72" s="63"/>
      <c r="N72" s="63"/>
      <c r="O72" s="63"/>
      <c r="P72" s="63"/>
      <c r="Q72" s="63"/>
      <c r="R72" s="63"/>
      <c r="S72" s="65"/>
      <c r="T72" s="65"/>
      <c r="U72" s="65"/>
      <c r="V72" s="65"/>
      <c r="W72" s="65"/>
      <c r="X72" s="63"/>
      <c r="Y72" s="63"/>
    </row>
    <row r="73" spans="1:25" ht="13.5" thickBot="1" x14ac:dyDescent="0.4">
      <c r="A73" s="102"/>
      <c r="B73" s="91"/>
      <c r="C73" s="92"/>
      <c r="D73" s="92"/>
      <c r="E73" s="92"/>
      <c r="F73" s="92"/>
      <c r="G73" s="98"/>
      <c r="H73" s="103"/>
      <c r="I73" s="63"/>
      <c r="J73" s="63"/>
      <c r="K73" s="64"/>
      <c r="L73" s="63"/>
      <c r="M73" s="63"/>
      <c r="N73" s="63"/>
      <c r="O73" s="63"/>
      <c r="P73" s="63"/>
      <c r="Q73" s="63"/>
      <c r="R73" s="63"/>
      <c r="S73" s="65"/>
      <c r="T73" s="65"/>
      <c r="U73" s="65"/>
      <c r="V73" s="65"/>
      <c r="W73" s="65"/>
      <c r="X73" s="63"/>
      <c r="Y73" s="63"/>
    </row>
    <row r="74" spans="1:25" ht="13.5" thickBot="1" x14ac:dyDescent="0.4">
      <c r="A74" s="102"/>
      <c r="B74" s="102"/>
      <c r="C74" s="103"/>
      <c r="D74" s="103"/>
      <c r="E74" s="103"/>
      <c r="F74" s="103"/>
      <c r="G74" s="102"/>
      <c r="H74" s="103"/>
      <c r="I74" s="63"/>
      <c r="J74" s="63"/>
      <c r="K74" s="64"/>
      <c r="L74" s="63"/>
      <c r="M74" s="63"/>
      <c r="N74" s="63"/>
      <c r="O74" s="63"/>
      <c r="P74" s="63"/>
      <c r="Q74" s="63"/>
      <c r="R74" s="63"/>
      <c r="S74" s="65"/>
      <c r="T74" s="65"/>
      <c r="U74" s="65"/>
      <c r="V74" s="65"/>
      <c r="W74" s="65"/>
      <c r="X74" s="63"/>
      <c r="Y74" s="63"/>
    </row>
    <row r="75" spans="1:25" x14ac:dyDescent="0.35">
      <c r="A75" s="102"/>
      <c r="B75" s="235" t="s">
        <v>0</v>
      </c>
      <c r="C75" s="214" t="s">
        <v>194</v>
      </c>
      <c r="D75" s="214"/>
      <c r="E75" s="214"/>
      <c r="F75" s="214"/>
      <c r="G75" s="237">
        <v>3</v>
      </c>
      <c r="H75" s="103"/>
      <c r="I75" s="63"/>
      <c r="J75" s="63"/>
      <c r="K75" s="64"/>
      <c r="L75" s="63"/>
      <c r="M75" s="63"/>
      <c r="N75" s="63"/>
      <c r="O75" s="63"/>
      <c r="P75" s="63"/>
      <c r="Q75" s="63"/>
      <c r="R75" s="63"/>
      <c r="S75" s="65"/>
      <c r="T75" s="65"/>
      <c r="U75" s="65"/>
      <c r="V75" s="65"/>
      <c r="W75" s="65"/>
      <c r="X75" s="63"/>
      <c r="Y75" s="63"/>
    </row>
    <row r="76" spans="1:25" x14ac:dyDescent="0.35">
      <c r="A76" s="102"/>
      <c r="B76" s="236"/>
      <c r="C76" s="215"/>
      <c r="D76" s="215"/>
      <c r="E76" s="215"/>
      <c r="F76" s="215"/>
      <c r="G76" s="238"/>
      <c r="H76" s="103"/>
      <c r="I76" s="63"/>
      <c r="J76" s="63"/>
      <c r="K76" s="64"/>
      <c r="L76" s="63"/>
      <c r="M76" s="63"/>
      <c r="N76" s="63"/>
      <c r="O76" s="63"/>
      <c r="P76" s="63"/>
      <c r="Q76" s="63"/>
      <c r="R76" s="63"/>
      <c r="S76" s="65"/>
      <c r="T76" s="65"/>
      <c r="U76" s="65"/>
      <c r="V76" s="65"/>
      <c r="W76" s="65"/>
      <c r="X76" s="63"/>
      <c r="Y76" s="63"/>
    </row>
    <row r="77" spans="1:25" x14ac:dyDescent="0.35">
      <c r="A77" s="102"/>
      <c r="B77" s="84" t="s">
        <v>82</v>
      </c>
      <c r="C77" s="205" t="s">
        <v>193</v>
      </c>
      <c r="D77" s="85"/>
      <c r="E77" s="85"/>
      <c r="F77" s="85"/>
      <c r="G77" s="86"/>
      <c r="H77" s="103"/>
      <c r="I77" s="63"/>
      <c r="J77" s="63"/>
      <c r="K77" s="64"/>
      <c r="L77" s="63"/>
      <c r="M77" s="63"/>
      <c r="N77" s="63"/>
      <c r="O77" s="63"/>
      <c r="P77" s="63"/>
      <c r="Q77" s="63"/>
      <c r="R77" s="63"/>
      <c r="S77" s="65"/>
      <c r="T77" s="65"/>
      <c r="U77" s="65"/>
      <c r="V77" s="65"/>
      <c r="W77" s="65"/>
      <c r="X77" s="63"/>
      <c r="Y77" s="63"/>
    </row>
    <row r="78" spans="1:25" x14ac:dyDescent="0.35">
      <c r="A78" s="102"/>
      <c r="B78" s="84" t="s">
        <v>9</v>
      </c>
      <c r="C78" s="16" t="s">
        <v>4</v>
      </c>
      <c r="D78" s="85"/>
      <c r="E78" s="85" t="str">
        <f>IF(OR(C78="WTI", C78="LDC"),"CT Accuracy", "")</f>
        <v>CT Accuracy</v>
      </c>
      <c r="F78" s="14" t="s">
        <v>77</v>
      </c>
      <c r="G78" s="86"/>
      <c r="H78" s="103"/>
      <c r="I78" s="63"/>
      <c r="J78" s="63"/>
      <c r="K78" s="64"/>
      <c r="L78" s="63"/>
      <c r="M78" s="63"/>
      <c r="N78" s="63"/>
      <c r="O78" s="63"/>
      <c r="P78" s="63"/>
      <c r="Q78" s="63"/>
      <c r="R78" s="63"/>
      <c r="S78" s="65"/>
      <c r="T78" s="65"/>
      <c r="U78" s="65"/>
      <c r="V78" s="65"/>
      <c r="W78" s="65"/>
      <c r="X78" s="63"/>
      <c r="Y78" s="63"/>
    </row>
    <row r="79" spans="1:25" x14ac:dyDescent="0.35">
      <c r="A79" s="102"/>
      <c r="B79" s="84" t="s">
        <v>10</v>
      </c>
      <c r="C79" s="16" t="s">
        <v>18</v>
      </c>
      <c r="D79" s="85"/>
      <c r="E79" s="85"/>
      <c r="F79" s="85"/>
      <c r="G79" s="86"/>
      <c r="H79" s="103"/>
      <c r="I79" s="63"/>
      <c r="J79" s="63"/>
      <c r="K79" s="64"/>
      <c r="L79" s="63"/>
      <c r="M79" s="63"/>
      <c r="N79" s="63"/>
      <c r="O79" s="63"/>
      <c r="P79" s="63"/>
      <c r="Q79" s="63"/>
      <c r="R79" s="63"/>
      <c r="S79" s="65"/>
      <c r="T79" s="65"/>
      <c r="U79" s="65"/>
      <c r="V79" s="65"/>
      <c r="W79" s="65"/>
      <c r="X79" s="63"/>
      <c r="Y79" s="63"/>
    </row>
    <row r="80" spans="1:25" x14ac:dyDescent="0.35">
      <c r="A80" s="102"/>
      <c r="B80" s="84" t="s">
        <v>90</v>
      </c>
      <c r="C80" s="17">
        <v>4</v>
      </c>
      <c r="D80" s="85"/>
      <c r="E80" s="85"/>
      <c r="F80" s="85"/>
      <c r="G80" s="86"/>
      <c r="H80" s="103"/>
      <c r="I80" s="63"/>
      <c r="J80" s="63"/>
      <c r="K80" s="64"/>
      <c r="L80" s="63"/>
      <c r="M80" s="63"/>
      <c r="N80" s="63"/>
      <c r="O80" s="63"/>
      <c r="P80" s="63"/>
      <c r="Q80" s="63"/>
      <c r="R80" s="63"/>
      <c r="S80" s="65"/>
      <c r="T80" s="65"/>
      <c r="U80" s="65"/>
      <c r="V80" s="65"/>
      <c r="W80" s="65"/>
      <c r="X80" s="63"/>
      <c r="Y80" s="63"/>
    </row>
    <row r="81" spans="1:25" x14ac:dyDescent="0.35">
      <c r="A81" s="102"/>
      <c r="B81" s="84" t="s">
        <v>2</v>
      </c>
      <c r="C81" s="14" t="s">
        <v>26</v>
      </c>
      <c r="D81" s="85"/>
      <c r="E81" s="85"/>
      <c r="F81" s="85"/>
      <c r="G81" s="86"/>
      <c r="H81" s="103"/>
      <c r="I81" s="63"/>
      <c r="J81" s="63"/>
      <c r="K81" s="64"/>
      <c r="L81" s="63"/>
      <c r="M81" s="63"/>
      <c r="N81" s="63"/>
      <c r="O81" s="63"/>
      <c r="P81" s="63"/>
      <c r="Q81" s="63"/>
      <c r="R81" s="63"/>
      <c r="S81" s="65"/>
      <c r="T81" s="65"/>
      <c r="U81" s="65"/>
      <c r="V81" s="65"/>
      <c r="W81" s="65"/>
      <c r="X81" s="63"/>
      <c r="Y81" s="63"/>
    </row>
    <row r="82" spans="1:25" ht="13.5" thickBot="1" x14ac:dyDescent="0.4">
      <c r="A82" s="102"/>
      <c r="B82" s="84" t="s">
        <v>3</v>
      </c>
      <c r="C82" s="31" t="s">
        <v>14</v>
      </c>
      <c r="D82" s="85"/>
      <c r="E82" s="85"/>
      <c r="F82" s="85"/>
      <c r="G82" s="86"/>
      <c r="H82" s="103"/>
      <c r="I82" s="63"/>
      <c r="J82" s="63"/>
      <c r="K82" s="64"/>
      <c r="L82" s="63"/>
      <c r="M82" s="63"/>
      <c r="N82" s="63"/>
      <c r="O82" s="63"/>
      <c r="P82" s="63"/>
      <c r="Q82" s="63"/>
      <c r="R82" s="63"/>
      <c r="S82" s="65"/>
      <c r="T82" s="65"/>
      <c r="U82" s="65"/>
      <c r="V82" s="65"/>
      <c r="W82" s="65"/>
      <c r="X82" s="63"/>
      <c r="Y82" s="63"/>
    </row>
    <row r="83" spans="1:25" x14ac:dyDescent="0.35">
      <c r="A83" s="102"/>
      <c r="B83" s="87" t="s">
        <v>85</v>
      </c>
      <c r="C83" s="32" t="s">
        <v>89</v>
      </c>
      <c r="D83" s="33" t="s">
        <v>146</v>
      </c>
      <c r="E83" s="33" t="s">
        <v>148</v>
      </c>
      <c r="F83" s="34" t="s">
        <v>150</v>
      </c>
      <c r="G83" s="86"/>
      <c r="H83" s="103"/>
      <c r="I83" s="63"/>
      <c r="J83" s="63"/>
      <c r="K83" s="64"/>
      <c r="L83" s="63"/>
      <c r="M83" s="63"/>
      <c r="N83" s="63"/>
      <c r="O83" s="63"/>
      <c r="P83" s="63"/>
      <c r="Q83" s="63"/>
      <c r="R83" s="63"/>
      <c r="S83" s="65"/>
      <c r="T83" s="65"/>
      <c r="U83" s="65"/>
      <c r="V83" s="65"/>
      <c r="W83" s="65"/>
      <c r="X83" s="63"/>
      <c r="Y83" s="63"/>
    </row>
    <row r="84" spans="1:25" x14ac:dyDescent="0.35">
      <c r="A84" s="102"/>
      <c r="B84" s="87" t="s">
        <v>84</v>
      </c>
      <c r="C84" s="35">
        <v>0</v>
      </c>
      <c r="D84" s="14">
        <v>0</v>
      </c>
      <c r="E84" s="14">
        <v>1</v>
      </c>
      <c r="F84" s="36">
        <v>0</v>
      </c>
      <c r="G84" s="86"/>
      <c r="H84" s="103"/>
      <c r="I84" s="63"/>
      <c r="J84" s="63"/>
      <c r="K84" s="64"/>
      <c r="L84" s="63"/>
      <c r="M84" s="63"/>
      <c r="N84" s="63"/>
      <c r="O84" s="63"/>
      <c r="P84" s="63"/>
      <c r="Q84" s="63"/>
      <c r="R84" s="63"/>
      <c r="S84" s="65"/>
      <c r="T84" s="65"/>
      <c r="U84" s="65"/>
      <c r="V84" s="65"/>
      <c r="W84" s="65"/>
      <c r="X84" s="63"/>
      <c r="Y84" s="63"/>
    </row>
    <row r="85" spans="1:25" x14ac:dyDescent="0.35">
      <c r="A85" s="102"/>
      <c r="B85" s="232" t="s">
        <v>86</v>
      </c>
      <c r="C85" s="191" t="str">
        <f>IF(
  ROWS($C$85:C85)&lt;= $C$84,
  $C$77 &amp; "-" &amp; C$83 &amp; ROWS($C$85:C85),
  ""
)</f>
        <v/>
      </c>
      <c r="D85" s="192" t="str">
        <f>IF(
  ROWS($D$85:D85)&lt;= $D$84,
  $C$77 &amp; "-" &amp; D$83 &amp; ROWS($D$85:D85),
  ""
)</f>
        <v/>
      </c>
      <c r="E85" s="192" t="str">
        <f>IF(
  ROWS($E$85:E85)&lt;= $E$84,
  $C$77 &amp; "-" &amp; E$83 &amp; ROWS($E$85:E85),
  ""
)</f>
        <v>CT6-X21</v>
      </c>
      <c r="F85" s="193" t="str">
        <f>IF(
  ROWS($F$85:F85)&lt;= $F$84,
  $C$77 &amp; "-" &amp; F$83 &amp; ROWS($F$85:F85),
  ""
)</f>
        <v/>
      </c>
      <c r="G85" s="86"/>
      <c r="H85" s="103"/>
      <c r="I85" s="63"/>
      <c r="J85" s="63"/>
      <c r="K85" s="64"/>
      <c r="L85" s="63"/>
      <c r="M85" s="63"/>
      <c r="N85" s="63"/>
      <c r="O85" s="63"/>
      <c r="P85" s="63"/>
      <c r="Q85" s="63"/>
      <c r="R85" s="63"/>
      <c r="S85" s="65"/>
      <c r="T85" s="65"/>
      <c r="U85" s="65"/>
      <c r="V85" s="65"/>
      <c r="W85" s="65"/>
      <c r="X85" s="63"/>
      <c r="Y85" s="63"/>
    </row>
    <row r="86" spans="1:25" x14ac:dyDescent="0.35">
      <c r="A86" s="102"/>
      <c r="B86" s="232"/>
      <c r="C86" s="191" t="str">
        <f>IF(
  ROWS($C$85:C86)&lt;= $C$84,
  $C$77 &amp; "-" &amp; C$83 &amp; ROWS($C$85:C86),
  ""
)</f>
        <v/>
      </c>
      <c r="D86" s="192" t="str">
        <f>IF(
  ROWS($D$85:D86)&lt;= $D$84,
  $C$77 &amp; "-" &amp; D$83 &amp; ROWS($D$85:D86),
  ""
)</f>
        <v/>
      </c>
      <c r="E86" s="192" t="str">
        <f>IF(
  ROWS($E$85:E86)&lt;= $E$84,
  $C$77 &amp; "-" &amp; E$83 &amp; ROWS($E$85:E86),
  ""
)</f>
        <v/>
      </c>
      <c r="F86" s="193" t="str">
        <f>IF(
  ROWS($F$85:F86)&lt;= $F$84,
  $C$77 &amp; "-" &amp; F$83 &amp; ROWS($F$85:F86),
  ""
)</f>
        <v/>
      </c>
      <c r="G86" s="86"/>
      <c r="H86" s="103"/>
      <c r="I86" s="63"/>
      <c r="J86" s="63"/>
      <c r="K86" s="64"/>
      <c r="L86" s="63"/>
      <c r="M86" s="63"/>
      <c r="N86" s="63"/>
      <c r="O86" s="63"/>
      <c r="P86" s="63"/>
      <c r="Q86" s="63"/>
      <c r="R86" s="63"/>
      <c r="S86" s="65"/>
      <c r="T86" s="65"/>
      <c r="U86" s="65"/>
      <c r="V86" s="65"/>
      <c r="W86" s="65"/>
      <c r="X86" s="63"/>
      <c r="Y86" s="63"/>
    </row>
    <row r="87" spans="1:25" x14ac:dyDescent="0.35">
      <c r="A87" s="102"/>
      <c r="B87" s="232"/>
      <c r="C87" s="191" t="str">
        <f>IF(
  ROWS($C$85:C87)&lt;= $C$84,
  $C$77 &amp; "-" &amp; C$83 &amp; ROWS($C$85:C87),
  ""
)</f>
        <v/>
      </c>
      <c r="D87" s="192" t="str">
        <f>IF(
  ROWS($D$85:D87)&lt;= $D$84,
  $C$77 &amp; "-" &amp; D$83 &amp; ROWS($D$85:D87),
  ""
)</f>
        <v/>
      </c>
      <c r="E87" s="192" t="str">
        <f>IF(
  ROWS($E$85:E87)&lt;= $E$84,
  $C$77 &amp; "-" &amp; E$83 &amp; ROWS($E$85:E87),
  ""
)</f>
        <v/>
      </c>
      <c r="F87" s="193" t="str">
        <f>IF(
  ROWS($F$85:F87)&lt;= $F$84,
  $C$77 &amp; "-" &amp; F$83 &amp; ROWS($F$85:F87),
  ""
)</f>
        <v/>
      </c>
      <c r="G87" s="86"/>
      <c r="H87" s="103"/>
      <c r="I87" s="63"/>
      <c r="J87" s="63"/>
      <c r="K87" s="64"/>
      <c r="L87" s="63"/>
      <c r="M87" s="63"/>
      <c r="N87" s="63"/>
      <c r="O87" s="63"/>
      <c r="P87" s="63"/>
      <c r="Q87" s="63"/>
      <c r="R87" s="63"/>
      <c r="S87" s="65"/>
      <c r="T87" s="65"/>
      <c r="U87" s="65"/>
      <c r="V87" s="65"/>
      <c r="W87" s="65"/>
      <c r="X87" s="63"/>
      <c r="Y87" s="63"/>
    </row>
    <row r="88" spans="1:25" x14ac:dyDescent="0.35">
      <c r="A88" s="102"/>
      <c r="B88" s="232"/>
      <c r="C88" s="191" t="str">
        <f>IF(
  ROWS($C$85:C88)&lt;= $C$84,
  $C$77 &amp; "-" &amp; C$83 &amp; ROWS($C$85:C88),
  ""
)</f>
        <v/>
      </c>
      <c r="D88" s="192" t="str">
        <f>IF(
  ROWS($D$85:D88)&lt;= $D$84,
  $C$77 &amp; "-" &amp; D$83 &amp; ROWS($D$85:D88),
  ""
)</f>
        <v/>
      </c>
      <c r="E88" s="192" t="str">
        <f>IF(
  ROWS($E$85:E88)&lt;= $E$84,
  $C$77 &amp; "-" &amp; E$83 &amp; ROWS($E$85:E88),
  ""
)</f>
        <v/>
      </c>
      <c r="F88" s="193" t="str">
        <f>IF(
  ROWS($F$85:F88)&lt;= $F$84,
  $C$77 &amp; "-" &amp; F$83 &amp; ROWS($F$85:F88),
  ""
)</f>
        <v/>
      </c>
      <c r="G88" s="86"/>
      <c r="H88" s="103"/>
      <c r="I88" s="63"/>
      <c r="J88" s="63"/>
      <c r="K88" s="64"/>
      <c r="L88" s="63"/>
      <c r="M88" s="63"/>
      <c r="N88" s="63"/>
      <c r="O88" s="63"/>
      <c r="P88" s="63"/>
      <c r="Q88" s="63"/>
      <c r="R88" s="63"/>
      <c r="S88" s="65"/>
      <c r="T88" s="65"/>
      <c r="U88" s="65"/>
      <c r="V88" s="65"/>
      <c r="W88" s="65"/>
      <c r="X88" s="63"/>
      <c r="Y88" s="63"/>
    </row>
    <row r="89" spans="1:25" x14ac:dyDescent="0.35">
      <c r="A89" s="102"/>
      <c r="B89" s="232"/>
      <c r="C89" s="191" t="str">
        <f>IF(
  ROWS($C$85:C89)&lt;= $C$84,
  $C$77 &amp; "-" &amp; C$83 &amp; ROWS($C$85:C89),
  ""
)</f>
        <v/>
      </c>
      <c r="D89" s="192" t="str">
        <f>IF(
  ROWS($D$85:D89)&lt;= $D$84,
  $C$77 &amp; "-" &amp; D$83 &amp; ROWS($D$85:D89),
  ""
)</f>
        <v/>
      </c>
      <c r="E89" s="192" t="str">
        <f>IF(
  ROWS($E$85:E89)&lt;= $E$84,
  $C$77 &amp; "-" &amp; E$83 &amp; ROWS($E$85:E89),
  ""
)</f>
        <v/>
      </c>
      <c r="F89" s="193" t="str">
        <f>IF(
  ROWS($F$85:F89)&lt;= $F$84,
  $C$77 &amp; "-" &amp; F$83 &amp; ROWS($F$85:F89),
  ""
)</f>
        <v/>
      </c>
      <c r="G89" s="86"/>
      <c r="H89" s="103"/>
      <c r="I89" s="63"/>
      <c r="J89" s="63"/>
      <c r="K89" s="64"/>
      <c r="L89" s="63"/>
      <c r="M89" s="63"/>
      <c r="N89" s="63"/>
      <c r="O89" s="63"/>
      <c r="P89" s="63"/>
      <c r="Q89" s="63"/>
      <c r="R89" s="63"/>
      <c r="S89" s="65"/>
      <c r="T89" s="65"/>
      <c r="U89" s="65"/>
      <c r="V89" s="65"/>
      <c r="W89" s="65"/>
      <c r="X89" s="63"/>
      <c r="Y89" s="63"/>
    </row>
    <row r="90" spans="1:25" x14ac:dyDescent="0.35">
      <c r="A90" s="102"/>
      <c r="B90" s="232"/>
      <c r="C90" s="191" t="str">
        <f>IF(
  ROWS($C$85:C90)&lt;= $C$84,
  $C$77 &amp; "-" &amp; C$83 &amp; ROWS($C$85:C90),
  ""
)</f>
        <v/>
      </c>
      <c r="D90" s="192" t="str">
        <f>IF(
  ROWS($D$85:D90)&lt;= $D$84,
  $C$77 &amp; "-" &amp; D$83 &amp; ROWS($D$85:D90),
  ""
)</f>
        <v/>
      </c>
      <c r="E90" s="192" t="str">
        <f>IF(
  ROWS($E$85:E90)&lt;= $E$84,
  $C$77 &amp; "-" &amp; E$83 &amp; ROWS($E$85:E90),
  ""
)</f>
        <v/>
      </c>
      <c r="F90" s="193" t="str">
        <f>IF(
  ROWS($F$85:F90)&lt;= $F$84,
  $C$77 &amp; "-" &amp; F$83 &amp; ROWS($F$85:F90),
  ""
)</f>
        <v/>
      </c>
      <c r="G90" s="86"/>
      <c r="H90" s="103"/>
      <c r="I90" s="63"/>
      <c r="J90" s="63"/>
      <c r="K90" s="64"/>
      <c r="L90" s="63"/>
      <c r="M90" s="63"/>
      <c r="N90" s="63"/>
      <c r="O90" s="63"/>
      <c r="P90" s="63"/>
      <c r="Q90" s="63"/>
      <c r="R90" s="63"/>
      <c r="S90" s="65"/>
      <c r="T90" s="65"/>
      <c r="U90" s="65"/>
      <c r="V90" s="65"/>
      <c r="W90" s="65"/>
      <c r="X90" s="63"/>
      <c r="Y90" s="63"/>
    </row>
    <row r="91" spans="1:25" x14ac:dyDescent="0.35">
      <c r="A91" s="102"/>
      <c r="B91" s="84" t="s">
        <v>119</v>
      </c>
      <c r="C91" s="23">
        <v>4</v>
      </c>
      <c r="D91" s="85"/>
      <c r="E91" s="85"/>
      <c r="F91" s="85"/>
      <c r="G91" s="86"/>
      <c r="H91" s="103"/>
      <c r="I91" s="63"/>
      <c r="J91" s="63"/>
      <c r="K91" s="64"/>
      <c r="L91" s="63"/>
      <c r="M91" s="63"/>
      <c r="N91" s="63"/>
      <c r="O91" s="63"/>
      <c r="P91" s="63"/>
      <c r="Q91" s="63"/>
      <c r="R91" s="63"/>
      <c r="S91" s="65"/>
      <c r="T91" s="65"/>
      <c r="U91" s="65"/>
      <c r="V91" s="65"/>
      <c r="W91" s="65"/>
      <c r="X91" s="63"/>
      <c r="Y91" s="63"/>
    </row>
    <row r="92" spans="1:25" x14ac:dyDescent="0.35">
      <c r="A92" s="102"/>
      <c r="B92" s="84" t="s">
        <v>120</v>
      </c>
      <c r="C92" s="19" t="b">
        <f>IF(OR(C78="WTI", C78="LDC"),FALSE,TRUE)</f>
        <v>0</v>
      </c>
      <c r="D92" s="21" t="s">
        <v>141</v>
      </c>
      <c r="E92" s="85"/>
      <c r="F92" s="85"/>
      <c r="G92" s="86"/>
      <c r="H92" s="103"/>
      <c r="I92" s="63"/>
      <c r="J92" s="63"/>
      <c r="K92" s="64"/>
      <c r="L92" s="63"/>
      <c r="M92" s="63"/>
      <c r="N92" s="63"/>
      <c r="O92" s="63"/>
      <c r="P92" s="63"/>
      <c r="Q92" s="63"/>
      <c r="R92" s="63"/>
      <c r="S92" s="65"/>
      <c r="T92" s="65"/>
      <c r="U92" s="65"/>
      <c r="V92" s="65"/>
      <c r="W92" s="65"/>
      <c r="X92" s="63"/>
      <c r="Y92" s="63"/>
    </row>
    <row r="93" spans="1:25" x14ac:dyDescent="0.35">
      <c r="A93" s="102"/>
      <c r="B93" s="84" t="s">
        <v>121</v>
      </c>
      <c r="C93" s="19" t="b">
        <f>IF(OR(C78="WTI", C78="LDC"),FALSE,TRUE)</f>
        <v>0</v>
      </c>
      <c r="D93" s="21" t="s">
        <v>141</v>
      </c>
      <c r="E93" s="85"/>
      <c r="F93" s="85"/>
      <c r="G93" s="86"/>
      <c r="H93" s="103"/>
      <c r="I93" s="63"/>
      <c r="J93" s="63"/>
      <c r="K93" s="64"/>
      <c r="L93" s="63"/>
      <c r="M93" s="63"/>
      <c r="N93" s="63"/>
      <c r="O93" s="63"/>
      <c r="P93" s="63"/>
      <c r="Q93" s="63"/>
      <c r="R93" s="63"/>
      <c r="S93" s="65"/>
      <c r="T93" s="65"/>
      <c r="U93" s="65"/>
      <c r="V93" s="65"/>
      <c r="W93" s="65"/>
      <c r="X93" s="63"/>
      <c r="Y93" s="63"/>
    </row>
    <row r="94" spans="1:25" x14ac:dyDescent="0.35">
      <c r="A94" s="102"/>
      <c r="B94" s="84" t="str">
        <f>IF(C92=TRUE, "Ratio Type", "")</f>
        <v/>
      </c>
      <c r="C94" s="14" t="s">
        <v>29</v>
      </c>
      <c r="D94" s="85"/>
      <c r="E94" s="85"/>
      <c r="F94" s="85"/>
      <c r="G94" s="86"/>
      <c r="H94" s="103"/>
      <c r="I94" s="63"/>
      <c r="J94" s="63"/>
      <c r="K94" s="64"/>
      <c r="L94" s="63"/>
      <c r="M94" s="63"/>
      <c r="N94" s="63"/>
      <c r="O94" s="63"/>
      <c r="P94" s="63"/>
      <c r="Q94" s="63"/>
      <c r="R94" s="63"/>
      <c r="S94" s="65"/>
      <c r="T94" s="65"/>
      <c r="U94" s="65"/>
      <c r="V94" s="65"/>
      <c r="W94" s="65"/>
      <c r="X94" s="63"/>
      <c r="Y94" s="63"/>
    </row>
    <row r="95" spans="1:25" x14ac:dyDescent="0.35">
      <c r="A95" s="102"/>
      <c r="B95" s="89" t="s">
        <v>91</v>
      </c>
      <c r="C95" s="20">
        <v>2</v>
      </c>
      <c r="D95" s="85"/>
      <c r="E95" s="85"/>
      <c r="F95" s="85"/>
      <c r="G95" s="86"/>
      <c r="H95" s="103"/>
      <c r="I95" s="63"/>
      <c r="J95" s="63"/>
      <c r="K95" s="64"/>
      <c r="L95" s="63"/>
      <c r="M95" s="63"/>
      <c r="N95" s="63"/>
      <c r="O95" s="63"/>
      <c r="P95" s="63"/>
      <c r="Q95" s="63"/>
      <c r="R95" s="63"/>
      <c r="S95" s="65"/>
      <c r="T95" s="65"/>
      <c r="U95" s="65"/>
      <c r="V95" s="65"/>
      <c r="W95" s="65"/>
      <c r="X95" s="63"/>
      <c r="Y95" s="63"/>
    </row>
    <row r="96" spans="1:25" x14ac:dyDescent="0.35">
      <c r="A96" s="102"/>
      <c r="B96" s="233" t="s">
        <v>96</v>
      </c>
      <c r="C96" s="234" t="s">
        <v>103</v>
      </c>
      <c r="D96" s="234"/>
      <c r="E96" s="234"/>
      <c r="F96" s="234"/>
      <c r="G96" s="86"/>
      <c r="H96" s="103"/>
      <c r="I96" s="63"/>
      <c r="J96" s="63"/>
      <c r="K96" s="64"/>
      <c r="L96" s="63"/>
      <c r="M96" s="63"/>
      <c r="N96" s="63"/>
      <c r="O96" s="63"/>
      <c r="P96" s="63"/>
      <c r="Q96" s="63"/>
      <c r="R96" s="63"/>
      <c r="S96" s="65"/>
      <c r="T96" s="65"/>
      <c r="U96" s="65"/>
      <c r="V96" s="65"/>
      <c r="W96" s="65"/>
      <c r="X96" s="63"/>
      <c r="Y96" s="63"/>
    </row>
    <row r="97" spans="1:25" x14ac:dyDescent="0.35">
      <c r="A97" s="102"/>
      <c r="B97" s="233"/>
      <c r="C97" s="234"/>
      <c r="D97" s="234"/>
      <c r="E97" s="234"/>
      <c r="F97" s="234"/>
      <c r="G97" s="86"/>
      <c r="H97" s="103"/>
      <c r="I97" s="63"/>
      <c r="J97" s="63"/>
      <c r="K97" s="64"/>
      <c r="L97" s="63"/>
      <c r="M97" s="63"/>
      <c r="N97" s="63"/>
      <c r="O97" s="63"/>
      <c r="P97" s="63"/>
      <c r="Q97" s="63"/>
      <c r="R97" s="63"/>
      <c r="S97" s="65"/>
      <c r="T97" s="65"/>
      <c r="U97" s="65"/>
      <c r="V97" s="65"/>
      <c r="W97" s="65"/>
      <c r="X97" s="63"/>
      <c r="Y97" s="63"/>
    </row>
    <row r="98" spans="1:25" x14ac:dyDescent="0.35">
      <c r="A98" s="102"/>
      <c r="B98" s="90"/>
      <c r="C98" s="85"/>
      <c r="D98" s="85"/>
      <c r="E98" s="85"/>
      <c r="F98" s="85"/>
      <c r="G98" s="86"/>
      <c r="H98" s="103"/>
      <c r="I98" s="63"/>
      <c r="J98" s="63"/>
      <c r="K98" s="64"/>
      <c r="L98" s="63"/>
      <c r="M98" s="63"/>
      <c r="N98" s="63"/>
      <c r="O98" s="63"/>
      <c r="P98" s="63"/>
      <c r="Q98" s="63"/>
      <c r="R98" s="63"/>
      <c r="S98" s="65"/>
      <c r="T98" s="65"/>
      <c r="U98" s="65"/>
      <c r="V98" s="65"/>
      <c r="W98" s="65"/>
      <c r="X98" s="63"/>
      <c r="Y98" s="63"/>
    </row>
    <row r="99" spans="1:25" ht="13.5" thickBot="1" x14ac:dyDescent="0.4">
      <c r="A99" s="102"/>
      <c r="B99" s="91"/>
      <c r="C99" s="92"/>
      <c r="D99" s="92"/>
      <c r="E99" s="92"/>
      <c r="F99" s="92"/>
      <c r="G99" s="98"/>
      <c r="H99" s="103"/>
      <c r="I99" s="63"/>
      <c r="J99" s="63"/>
      <c r="K99" s="64"/>
      <c r="L99" s="63"/>
      <c r="M99" s="63"/>
      <c r="N99" s="63"/>
      <c r="O99" s="63"/>
      <c r="P99" s="63"/>
      <c r="Q99" s="63"/>
      <c r="R99" s="63"/>
      <c r="S99" s="65"/>
      <c r="T99" s="65"/>
      <c r="U99" s="65"/>
      <c r="V99" s="65"/>
      <c r="W99" s="65"/>
      <c r="X99" s="63"/>
      <c r="Y99" s="63"/>
    </row>
    <row r="100" spans="1:25" ht="13.5" thickBot="1" x14ac:dyDescent="0.4">
      <c r="A100" s="102"/>
      <c r="B100" s="102"/>
      <c r="C100" s="103"/>
      <c r="D100" s="103"/>
      <c r="E100" s="103"/>
      <c r="F100" s="103"/>
      <c r="G100" s="102"/>
      <c r="H100" s="103"/>
      <c r="I100" s="63"/>
      <c r="J100" s="63"/>
      <c r="K100" s="64"/>
      <c r="L100" s="63"/>
      <c r="M100" s="63"/>
      <c r="N100" s="63"/>
      <c r="O100" s="63"/>
      <c r="P100" s="63"/>
      <c r="Q100" s="63"/>
      <c r="R100" s="63"/>
      <c r="S100" s="65"/>
      <c r="T100" s="65"/>
      <c r="U100" s="65"/>
      <c r="V100" s="65"/>
      <c r="W100" s="65"/>
      <c r="X100" s="63"/>
      <c r="Y100" s="63"/>
    </row>
    <row r="101" spans="1:25" x14ac:dyDescent="0.35">
      <c r="A101" s="102"/>
      <c r="B101" s="235" t="s">
        <v>0</v>
      </c>
      <c r="C101" s="214" t="s">
        <v>195</v>
      </c>
      <c r="D101" s="214"/>
      <c r="E101" s="214"/>
      <c r="F101" s="214"/>
      <c r="G101" s="237">
        <v>4</v>
      </c>
      <c r="H101" s="103"/>
      <c r="I101" s="63"/>
      <c r="J101" s="63"/>
      <c r="K101" s="64"/>
      <c r="L101" s="63"/>
      <c r="M101" s="63"/>
      <c r="N101" s="63"/>
      <c r="O101" s="63"/>
      <c r="P101" s="63"/>
      <c r="Q101" s="63"/>
      <c r="R101" s="63"/>
      <c r="S101" s="65"/>
      <c r="T101" s="65"/>
      <c r="U101" s="65"/>
      <c r="V101" s="65"/>
      <c r="W101" s="65"/>
      <c r="X101" s="63"/>
      <c r="Y101" s="63"/>
    </row>
    <row r="102" spans="1:25" x14ac:dyDescent="0.35">
      <c r="A102" s="102"/>
      <c r="B102" s="236"/>
      <c r="C102" s="215"/>
      <c r="D102" s="215"/>
      <c r="E102" s="215"/>
      <c r="F102" s="215"/>
      <c r="G102" s="238"/>
      <c r="H102" s="103"/>
      <c r="I102" s="63"/>
      <c r="J102" s="63"/>
      <c r="K102" s="64"/>
      <c r="L102" s="63"/>
      <c r="M102" s="63"/>
      <c r="N102" s="63"/>
      <c r="O102" s="63"/>
      <c r="P102" s="63"/>
      <c r="Q102" s="63"/>
      <c r="R102" s="63"/>
      <c r="S102" s="65"/>
      <c r="T102" s="65"/>
      <c r="U102" s="65"/>
      <c r="V102" s="65"/>
      <c r="W102" s="65"/>
      <c r="X102" s="63"/>
      <c r="Y102" s="63"/>
    </row>
    <row r="103" spans="1:25" x14ac:dyDescent="0.35">
      <c r="A103" s="102"/>
      <c r="B103" s="84" t="s">
        <v>82</v>
      </c>
      <c r="C103" s="24" t="s">
        <v>196</v>
      </c>
      <c r="D103" s="85"/>
      <c r="E103" s="85"/>
      <c r="F103" s="85"/>
      <c r="G103" s="86"/>
      <c r="H103" s="103"/>
      <c r="I103" s="63"/>
      <c r="J103" s="63"/>
      <c r="K103" s="64"/>
      <c r="L103" s="63"/>
      <c r="M103" s="63"/>
      <c r="N103" s="63"/>
      <c r="O103" s="63"/>
      <c r="P103" s="63"/>
      <c r="Q103" s="63"/>
      <c r="R103" s="63"/>
      <c r="S103" s="65"/>
      <c r="T103" s="65"/>
      <c r="U103" s="65"/>
      <c r="V103" s="65"/>
      <c r="W103" s="65"/>
      <c r="X103" s="63"/>
      <c r="Y103" s="63"/>
    </row>
    <row r="104" spans="1:25" x14ac:dyDescent="0.35">
      <c r="A104" s="102"/>
      <c r="B104" s="84" t="s">
        <v>9</v>
      </c>
      <c r="C104" s="16" t="s">
        <v>5</v>
      </c>
      <c r="D104" s="85"/>
      <c r="E104" s="85" t="str">
        <f>IF(OR(C104="WTI", C104="LDC"),"CT Accuracy", "")</f>
        <v>CT Accuracy</v>
      </c>
      <c r="F104" s="14" t="s">
        <v>77</v>
      </c>
      <c r="G104" s="86"/>
      <c r="H104" s="103"/>
      <c r="I104" s="63"/>
      <c r="J104" s="63"/>
      <c r="K104" s="64"/>
      <c r="L104" s="63"/>
      <c r="M104" s="63"/>
      <c r="N104" s="63"/>
      <c r="O104" s="63"/>
      <c r="P104" s="63"/>
      <c r="Q104" s="63"/>
      <c r="R104" s="63"/>
      <c r="S104" s="65"/>
      <c r="T104" s="65"/>
      <c r="U104" s="65"/>
      <c r="V104" s="65"/>
      <c r="W104" s="65"/>
      <c r="X104" s="63"/>
      <c r="Y104" s="63"/>
    </row>
    <row r="105" spans="1:25" x14ac:dyDescent="0.35">
      <c r="A105" s="102"/>
      <c r="B105" s="84" t="s">
        <v>10</v>
      </c>
      <c r="C105" s="16" t="s">
        <v>18</v>
      </c>
      <c r="D105" s="85"/>
      <c r="E105" s="85"/>
      <c r="F105" s="85"/>
      <c r="G105" s="86"/>
      <c r="H105" s="103"/>
      <c r="I105" s="63"/>
      <c r="J105" s="63"/>
      <c r="K105" s="64"/>
      <c r="L105" s="63"/>
      <c r="M105" s="63"/>
      <c r="N105" s="63"/>
      <c r="O105" s="63"/>
      <c r="P105" s="63"/>
      <c r="Q105" s="63"/>
      <c r="R105" s="63"/>
      <c r="S105" s="65"/>
      <c r="T105" s="65"/>
      <c r="U105" s="65"/>
      <c r="V105" s="65"/>
      <c r="W105" s="65"/>
      <c r="X105" s="63"/>
      <c r="Y105" s="63"/>
    </row>
    <row r="106" spans="1:25" x14ac:dyDescent="0.35">
      <c r="A106" s="102"/>
      <c r="B106" s="84" t="s">
        <v>90</v>
      </c>
      <c r="C106" s="17">
        <v>4</v>
      </c>
      <c r="D106" s="85"/>
      <c r="E106" s="85"/>
      <c r="F106" s="85"/>
      <c r="G106" s="86"/>
      <c r="H106" s="103"/>
      <c r="I106" s="63"/>
      <c r="J106" s="63"/>
      <c r="K106" s="64"/>
      <c r="L106" s="63"/>
      <c r="M106" s="63"/>
      <c r="N106" s="63"/>
      <c r="O106" s="63"/>
      <c r="P106" s="63"/>
      <c r="Q106" s="63"/>
      <c r="R106" s="63"/>
      <c r="S106" s="65"/>
      <c r="T106" s="65"/>
      <c r="U106" s="65"/>
      <c r="V106" s="65"/>
      <c r="W106" s="65"/>
      <c r="X106" s="63"/>
      <c r="Y106" s="63"/>
    </row>
    <row r="107" spans="1:25" x14ac:dyDescent="0.35">
      <c r="A107" s="102"/>
      <c r="B107" s="84" t="s">
        <v>2</v>
      </c>
      <c r="C107" s="14" t="s">
        <v>26</v>
      </c>
      <c r="D107" s="85"/>
      <c r="E107" s="85"/>
      <c r="F107" s="85"/>
      <c r="G107" s="86"/>
      <c r="H107" s="103"/>
      <c r="I107" s="63"/>
      <c r="J107" s="63"/>
      <c r="K107" s="64"/>
      <c r="L107" s="63"/>
      <c r="M107" s="63"/>
      <c r="N107" s="63"/>
      <c r="O107" s="63"/>
      <c r="P107" s="63"/>
      <c r="Q107" s="63"/>
      <c r="R107" s="63"/>
      <c r="S107" s="65"/>
      <c r="T107" s="65"/>
      <c r="U107" s="65"/>
      <c r="V107" s="65"/>
      <c r="W107" s="65"/>
      <c r="X107" s="63"/>
      <c r="Y107" s="63"/>
    </row>
    <row r="108" spans="1:25" x14ac:dyDescent="0.35">
      <c r="A108" s="102"/>
      <c r="B108" s="84" t="s">
        <v>3</v>
      </c>
      <c r="C108" s="31" t="s">
        <v>14</v>
      </c>
      <c r="D108" s="85"/>
      <c r="E108" s="85"/>
      <c r="F108" s="85"/>
      <c r="G108" s="86"/>
      <c r="H108" s="103"/>
      <c r="I108" s="63"/>
      <c r="J108" s="63"/>
      <c r="K108" s="64"/>
      <c r="L108" s="63"/>
      <c r="M108" s="63"/>
      <c r="N108" s="63"/>
      <c r="O108" s="63"/>
      <c r="P108" s="63"/>
      <c r="Q108" s="63"/>
      <c r="R108" s="63"/>
      <c r="S108" s="65"/>
      <c r="T108" s="65"/>
      <c r="U108" s="65"/>
      <c r="V108" s="65"/>
      <c r="W108" s="65"/>
      <c r="X108" s="63"/>
      <c r="Y108" s="63"/>
    </row>
    <row r="109" spans="1:25" x14ac:dyDescent="0.35">
      <c r="A109" s="102"/>
      <c r="B109" s="87" t="s">
        <v>85</v>
      </c>
      <c r="C109" s="22" t="s">
        <v>89</v>
      </c>
      <c r="D109" s="22" t="s">
        <v>146</v>
      </c>
      <c r="E109" s="22" t="s">
        <v>148</v>
      </c>
      <c r="F109" s="22" t="s">
        <v>150</v>
      </c>
      <c r="G109" s="86"/>
      <c r="H109" s="103"/>
      <c r="I109" s="63"/>
      <c r="J109" s="63"/>
      <c r="K109" s="64"/>
      <c r="L109" s="63"/>
      <c r="M109" s="63"/>
      <c r="N109" s="63"/>
      <c r="O109" s="63"/>
      <c r="P109" s="63"/>
      <c r="Q109" s="63"/>
      <c r="R109" s="63"/>
      <c r="S109" s="65"/>
      <c r="T109" s="65"/>
      <c r="U109" s="65"/>
      <c r="V109" s="65"/>
      <c r="W109" s="65"/>
      <c r="X109" s="63"/>
      <c r="Y109" s="63"/>
    </row>
    <row r="110" spans="1:25" x14ac:dyDescent="0.35">
      <c r="A110" s="102"/>
      <c r="B110" s="87" t="s">
        <v>84</v>
      </c>
      <c r="C110" s="14">
        <v>0</v>
      </c>
      <c r="D110" s="14">
        <v>1</v>
      </c>
      <c r="E110" s="14">
        <v>0</v>
      </c>
      <c r="F110" s="14">
        <v>0</v>
      </c>
      <c r="G110" s="86"/>
      <c r="H110" s="103"/>
      <c r="I110" s="63"/>
      <c r="J110" s="63"/>
      <c r="K110" s="64"/>
      <c r="L110" s="63"/>
      <c r="M110" s="63"/>
      <c r="N110" s="63"/>
      <c r="O110" s="63"/>
      <c r="P110" s="63"/>
      <c r="Q110" s="63"/>
      <c r="R110" s="63"/>
      <c r="S110" s="65"/>
      <c r="T110" s="65"/>
      <c r="U110" s="65"/>
      <c r="V110" s="65"/>
      <c r="W110" s="65"/>
      <c r="X110" s="63"/>
      <c r="Y110" s="63"/>
    </row>
    <row r="111" spans="1:25" x14ac:dyDescent="0.35">
      <c r="A111" s="102"/>
      <c r="B111" s="232" t="s">
        <v>86</v>
      </c>
      <c r="C111" s="190" t="str">
        <f>IF(
  ROWS($C$111:C111)&lt;= $C$110,
  $C$103 &amp; "-" &amp; C$109 &amp; ROWS($C$111:C111),
  ""
)</f>
        <v/>
      </c>
      <c r="D111" s="190" t="str">
        <f>IF(
  ROWS($D$111:D111)&lt;= $D$110,
  $C$103 &amp; "-" &amp; D$109 &amp; ROWS($D$111:D111),
  ""
)</f>
        <v>CT7-X11</v>
      </c>
      <c r="E111" s="190" t="str">
        <f>IF(
  ROWS($E$111:E111)&lt;= $E$110,
  $C$103 &amp; "-" &amp; E$109 &amp; ROWS($E$111:E111),
  ""
)</f>
        <v/>
      </c>
      <c r="F111" s="190" t="str">
        <f>IF(
  ROWS($F$111:F111)&lt;= $F$110,
  $C$103 &amp; "-" &amp; F$109 &amp; ROWS($F$111:F111),
  ""
)</f>
        <v/>
      </c>
      <c r="G111" s="86"/>
      <c r="H111" s="103"/>
      <c r="I111" s="63"/>
      <c r="J111" s="63"/>
      <c r="K111" s="64"/>
      <c r="L111" s="63"/>
      <c r="M111" s="63"/>
      <c r="N111" s="63"/>
      <c r="O111" s="63"/>
      <c r="P111" s="63"/>
      <c r="Q111" s="63"/>
      <c r="R111" s="63"/>
      <c r="S111" s="65"/>
      <c r="T111" s="65"/>
      <c r="U111" s="65"/>
      <c r="V111" s="65"/>
      <c r="W111" s="65"/>
      <c r="X111" s="63"/>
      <c r="Y111" s="63"/>
    </row>
    <row r="112" spans="1:25" x14ac:dyDescent="0.35">
      <c r="A112" s="102"/>
      <c r="B112" s="232"/>
      <c r="C112" s="190" t="str">
        <f>IF(
  ROWS($C$111:C112)&lt;= $C$110,
  $C$103 &amp; "-" &amp; C$109 &amp; ROWS($C$111:C112),
  ""
)</f>
        <v/>
      </c>
      <c r="D112" s="190" t="str">
        <f>IF(
  ROWS($D$111:D112)&lt;= $D$110,
  $C$103 &amp; "-" &amp; D$109 &amp; ROWS($D$111:D112),
  ""
)</f>
        <v/>
      </c>
      <c r="E112" s="190" t="str">
        <f>IF(
  ROWS($E$111:E112)&lt;= $E$110,
  $C$103 &amp; "-" &amp; E$109 &amp; ROWS($E$111:E112),
  ""
)</f>
        <v/>
      </c>
      <c r="F112" s="190" t="str">
        <f>IF(
  ROWS($F$111:F112)&lt;= $F$110,
  $C$103 &amp; "-" &amp; F$109 &amp; ROWS($F$111:F112),
  ""
)</f>
        <v/>
      </c>
      <c r="G112" s="86"/>
      <c r="H112" s="103"/>
      <c r="I112" s="63"/>
      <c r="J112" s="63"/>
      <c r="K112" s="64"/>
      <c r="L112" s="63"/>
      <c r="M112" s="63"/>
      <c r="N112" s="63"/>
      <c r="O112" s="63"/>
      <c r="P112" s="63"/>
      <c r="Q112" s="63"/>
      <c r="R112" s="63"/>
      <c r="S112" s="65"/>
      <c r="T112" s="65"/>
      <c r="U112" s="65"/>
      <c r="V112" s="65"/>
      <c r="W112" s="65"/>
      <c r="X112" s="63"/>
      <c r="Y112" s="63"/>
    </row>
    <row r="113" spans="1:25" x14ac:dyDescent="0.35">
      <c r="A113" s="102"/>
      <c r="B113" s="232"/>
      <c r="C113" s="190" t="str">
        <f>IF(
  ROWS($C$111:C113)&lt;= $C$110,
  $C$103 &amp; "-" &amp; C$109 &amp; ROWS($C$111:C113),
  ""
)</f>
        <v/>
      </c>
      <c r="D113" s="190" t="str">
        <f>IF(
  ROWS($D$111:D113)&lt;= $D$110,
  $C$103 &amp; "-" &amp; D$109 &amp; ROWS($D$111:D113),
  ""
)</f>
        <v/>
      </c>
      <c r="E113" s="190" t="str">
        <f>IF(
  ROWS($E$111:E113)&lt;= $E$110,
  $C$103 &amp; "-" &amp; E$109 &amp; ROWS($E$111:E113),
  ""
)</f>
        <v/>
      </c>
      <c r="F113" s="190" t="str">
        <f>IF(
  ROWS($F$111:F113)&lt;= $F$110,
  $C$103 &amp; "-" &amp; F$109 &amp; ROWS($F$111:F113),
  ""
)</f>
        <v/>
      </c>
      <c r="G113" s="86"/>
      <c r="H113" s="103"/>
      <c r="I113" s="63"/>
      <c r="J113" s="63"/>
      <c r="K113" s="64"/>
      <c r="L113" s="63"/>
      <c r="M113" s="63"/>
      <c r="N113" s="63"/>
      <c r="O113" s="63"/>
      <c r="P113" s="63"/>
      <c r="Q113" s="63"/>
      <c r="R113" s="63"/>
      <c r="S113" s="65"/>
      <c r="T113" s="65"/>
      <c r="U113" s="65"/>
      <c r="V113" s="65"/>
      <c r="W113" s="65"/>
      <c r="X113" s="63"/>
      <c r="Y113" s="63"/>
    </row>
    <row r="114" spans="1:25" x14ac:dyDescent="0.35">
      <c r="A114" s="102"/>
      <c r="B114" s="232"/>
      <c r="C114" s="190" t="str">
        <f>IF(
  ROWS($C$111:C114)&lt;= $C$110,
  $C$103 &amp; "-" &amp; C$109 &amp; ROWS($C$111:C114),
  ""
)</f>
        <v/>
      </c>
      <c r="D114" s="190" t="str">
        <f>IF(
  ROWS($D$111:D114)&lt;= $D$110,
  $C$103 &amp; "-" &amp; D$109 &amp; ROWS($D$111:D114),
  ""
)</f>
        <v/>
      </c>
      <c r="E114" s="190" t="str">
        <f>IF(
  ROWS($E$111:E114)&lt;= $E$110,
  $C$103 &amp; "-" &amp; E$109 &amp; ROWS($E$111:E114),
  ""
)</f>
        <v/>
      </c>
      <c r="F114" s="190" t="str">
        <f>IF(
  ROWS($F$111:F114)&lt;= $F$110,
  $C$103 &amp; "-" &amp; F$109 &amp; ROWS($F$111:F114),
  ""
)</f>
        <v/>
      </c>
      <c r="G114" s="86"/>
      <c r="H114" s="103"/>
      <c r="I114" s="63"/>
      <c r="J114" s="63"/>
      <c r="K114" s="64"/>
      <c r="L114" s="63"/>
      <c r="M114" s="63"/>
      <c r="N114" s="63"/>
      <c r="O114" s="63"/>
      <c r="P114" s="63"/>
      <c r="Q114" s="63"/>
      <c r="R114" s="63"/>
      <c r="S114" s="65"/>
      <c r="T114" s="65"/>
      <c r="U114" s="65"/>
      <c r="V114" s="65"/>
      <c r="W114" s="65"/>
      <c r="X114" s="63"/>
      <c r="Y114" s="63"/>
    </row>
    <row r="115" spans="1:25" x14ac:dyDescent="0.35">
      <c r="A115" s="102"/>
      <c r="B115" s="232"/>
      <c r="C115" s="190" t="str">
        <f>IF(
  ROWS($C$111:C115)&lt;= $C$110,
  $C$103 &amp; "-" &amp; C$109 &amp; ROWS($C$111:C115),
  ""
)</f>
        <v/>
      </c>
      <c r="D115" s="190" t="str">
        <f>IF(
  ROWS($D$111:D115)&lt;= $D$110,
  $C$103 &amp; "-" &amp; D$109 &amp; ROWS($D$111:D115),
  ""
)</f>
        <v/>
      </c>
      <c r="E115" s="190" t="str">
        <f>IF(
  ROWS($E$111:E115)&lt;= $E$110,
  $C$103 &amp; "-" &amp; E$109 &amp; ROWS($E$111:E115),
  ""
)</f>
        <v/>
      </c>
      <c r="F115" s="190" t="str">
        <f>IF(
  ROWS($F$111:F115)&lt;= $F$110,
  $C$103 &amp; "-" &amp; F$109 &amp; ROWS($F$111:F115),
  ""
)</f>
        <v/>
      </c>
      <c r="G115" s="86"/>
      <c r="H115" s="103"/>
      <c r="I115" s="63"/>
      <c r="J115" s="63"/>
      <c r="K115" s="64"/>
      <c r="L115" s="63"/>
      <c r="M115" s="63"/>
      <c r="N115" s="63"/>
      <c r="O115" s="63"/>
      <c r="P115" s="63"/>
      <c r="Q115" s="63"/>
      <c r="R115" s="63"/>
      <c r="S115" s="65"/>
      <c r="T115" s="65"/>
      <c r="U115" s="65"/>
      <c r="V115" s="65"/>
      <c r="W115" s="65"/>
      <c r="X115" s="63"/>
      <c r="Y115" s="63"/>
    </row>
    <row r="116" spans="1:25" x14ac:dyDescent="0.35">
      <c r="A116" s="102"/>
      <c r="B116" s="232"/>
      <c r="C116" s="190" t="str">
        <f>IF(
  ROWS($C$111:C116)&lt;= $C$110,
  $C$103 &amp; "-" &amp; C$109 &amp; ROWS($C$111:C116),
  ""
)</f>
        <v/>
      </c>
      <c r="D116" s="190" t="str">
        <f>IF(
  ROWS($D$111:D116)&lt;= $D$110,
  $C$103 &amp; "-" &amp; D$109 &amp; ROWS($D$111:D116),
  ""
)</f>
        <v/>
      </c>
      <c r="E116" s="190" t="str">
        <f>IF(
  ROWS($E$111:E116)&lt;= $E$110,
  $C$103 &amp; "-" &amp; E$109 &amp; ROWS($E$111:E116),
  ""
)</f>
        <v/>
      </c>
      <c r="F116" s="190" t="str">
        <f>IF(
  ROWS($F$111:F116)&lt;= $F$110,
  $C$103 &amp; "-" &amp; F$109 &amp; ROWS($F$111:F116),
  ""
)</f>
        <v/>
      </c>
      <c r="G116" s="86"/>
      <c r="H116" s="103"/>
      <c r="I116" s="63"/>
      <c r="J116" s="63"/>
      <c r="K116" s="64"/>
      <c r="L116" s="63"/>
      <c r="M116" s="63"/>
      <c r="N116" s="63"/>
      <c r="O116" s="63"/>
      <c r="P116" s="63"/>
      <c r="Q116" s="63"/>
      <c r="R116" s="63"/>
      <c r="S116" s="65"/>
      <c r="T116" s="65"/>
      <c r="U116" s="65"/>
      <c r="V116" s="65"/>
      <c r="W116" s="65"/>
      <c r="X116" s="63"/>
      <c r="Y116" s="63"/>
    </row>
    <row r="117" spans="1:25" x14ac:dyDescent="0.35">
      <c r="A117" s="102"/>
      <c r="B117" s="84" t="s">
        <v>119</v>
      </c>
      <c r="C117" s="23">
        <v>4</v>
      </c>
      <c r="D117" s="85"/>
      <c r="E117" s="85"/>
      <c r="F117" s="85"/>
      <c r="G117" s="86"/>
      <c r="H117" s="103"/>
      <c r="I117" s="63"/>
      <c r="J117" s="63"/>
      <c r="K117" s="64"/>
      <c r="L117" s="63"/>
      <c r="M117" s="63"/>
      <c r="N117" s="63"/>
      <c r="O117" s="63"/>
      <c r="P117" s="63"/>
      <c r="Q117" s="63"/>
      <c r="R117" s="63"/>
      <c r="S117" s="65"/>
      <c r="T117" s="65"/>
      <c r="U117" s="65"/>
      <c r="V117" s="65"/>
      <c r="W117" s="65"/>
      <c r="X117" s="63"/>
      <c r="Y117" s="63"/>
    </row>
    <row r="118" spans="1:25" x14ac:dyDescent="0.35">
      <c r="A118" s="102"/>
      <c r="B118" s="84" t="s">
        <v>120</v>
      </c>
      <c r="C118" s="19" t="b">
        <f>IF(OR(C104="WTI", C104="LDC"),FALSE,TRUE)</f>
        <v>0</v>
      </c>
      <c r="D118" s="21"/>
      <c r="E118" s="85"/>
      <c r="F118" s="85"/>
      <c r="G118" s="86"/>
      <c r="H118" s="103"/>
      <c r="I118" s="63"/>
      <c r="J118" s="63"/>
      <c r="K118" s="64"/>
      <c r="L118" s="63"/>
      <c r="M118" s="63"/>
      <c r="N118" s="63"/>
      <c r="O118" s="63"/>
      <c r="P118" s="63"/>
      <c r="Q118" s="63"/>
      <c r="R118" s="63"/>
      <c r="S118" s="65"/>
      <c r="T118" s="65"/>
      <c r="U118" s="65"/>
      <c r="V118" s="65"/>
      <c r="W118" s="65"/>
      <c r="X118" s="63"/>
      <c r="Y118" s="63"/>
    </row>
    <row r="119" spans="1:25" x14ac:dyDescent="0.35">
      <c r="A119" s="102"/>
      <c r="B119" s="84" t="s">
        <v>121</v>
      </c>
      <c r="C119" s="19" t="b">
        <f>IF(OR(C104="WTI", C104="LDC"),FALSE,TRUE)</f>
        <v>0</v>
      </c>
      <c r="D119" s="21"/>
      <c r="E119" s="85"/>
      <c r="F119" s="85"/>
      <c r="G119" s="86"/>
      <c r="H119" s="103"/>
      <c r="I119" s="63"/>
      <c r="J119" s="63"/>
      <c r="K119" s="64"/>
      <c r="L119" s="63"/>
      <c r="M119" s="63"/>
      <c r="N119" s="63"/>
      <c r="O119" s="63"/>
      <c r="P119" s="63"/>
      <c r="Q119" s="63"/>
      <c r="R119" s="63"/>
      <c r="S119" s="65"/>
      <c r="T119" s="65"/>
      <c r="U119" s="65"/>
      <c r="V119" s="65"/>
      <c r="W119" s="65"/>
      <c r="X119" s="63"/>
      <c r="Y119" s="63"/>
    </row>
    <row r="120" spans="1:25" x14ac:dyDescent="0.35">
      <c r="A120" s="102"/>
      <c r="B120" s="84" t="str">
        <f>IF(C118=TRUE, "Ratio Type", "")</f>
        <v/>
      </c>
      <c r="C120" s="14" t="s">
        <v>30</v>
      </c>
      <c r="D120" s="85"/>
      <c r="E120" s="85"/>
      <c r="F120" s="85"/>
      <c r="G120" s="86"/>
      <c r="H120" s="103"/>
      <c r="I120" s="63"/>
      <c r="J120" s="63"/>
      <c r="K120" s="64"/>
      <c r="L120" s="63"/>
      <c r="M120" s="63"/>
      <c r="N120" s="63"/>
      <c r="O120" s="63"/>
      <c r="P120" s="63"/>
      <c r="Q120" s="63"/>
      <c r="R120" s="63"/>
      <c r="S120" s="65"/>
      <c r="T120" s="65"/>
      <c r="U120" s="65"/>
      <c r="V120" s="65"/>
      <c r="W120" s="65"/>
      <c r="X120" s="63"/>
      <c r="Y120" s="63"/>
    </row>
    <row r="121" spans="1:25" x14ac:dyDescent="0.35">
      <c r="A121" s="102"/>
      <c r="B121" s="89" t="s">
        <v>91</v>
      </c>
      <c r="C121" s="20">
        <v>2</v>
      </c>
      <c r="D121" s="85"/>
      <c r="E121" s="85"/>
      <c r="F121" s="85"/>
      <c r="G121" s="86"/>
      <c r="H121" s="103"/>
      <c r="I121" s="63"/>
      <c r="J121" s="63"/>
      <c r="K121" s="64"/>
      <c r="L121" s="63"/>
      <c r="M121" s="63"/>
      <c r="N121" s="63"/>
      <c r="O121" s="63"/>
      <c r="P121" s="63"/>
      <c r="Q121" s="63"/>
      <c r="R121" s="63"/>
      <c r="S121" s="65"/>
      <c r="T121" s="65"/>
      <c r="U121" s="65"/>
      <c r="V121" s="65"/>
      <c r="W121" s="65"/>
      <c r="X121" s="63"/>
      <c r="Y121" s="63"/>
    </row>
    <row r="122" spans="1:25" x14ac:dyDescent="0.35">
      <c r="A122" s="102"/>
      <c r="B122" s="233" t="s">
        <v>96</v>
      </c>
      <c r="C122" s="234" t="s">
        <v>103</v>
      </c>
      <c r="D122" s="234"/>
      <c r="E122" s="234"/>
      <c r="F122" s="234"/>
      <c r="G122" s="86"/>
      <c r="H122" s="103"/>
      <c r="I122" s="63"/>
      <c r="J122" s="63"/>
      <c r="K122" s="64"/>
      <c r="L122" s="63"/>
      <c r="M122" s="63"/>
      <c r="N122" s="63"/>
      <c r="O122" s="63"/>
      <c r="P122" s="63"/>
      <c r="Q122" s="63"/>
      <c r="R122" s="63"/>
      <c r="S122" s="65"/>
      <c r="T122" s="65"/>
      <c r="U122" s="65"/>
      <c r="V122" s="65"/>
      <c r="W122" s="65"/>
      <c r="X122" s="63"/>
      <c r="Y122" s="63"/>
    </row>
    <row r="123" spans="1:25" x14ac:dyDescent="0.35">
      <c r="A123" s="102"/>
      <c r="B123" s="233"/>
      <c r="C123" s="234"/>
      <c r="D123" s="234"/>
      <c r="E123" s="234"/>
      <c r="F123" s="234"/>
      <c r="G123" s="86"/>
      <c r="H123" s="103"/>
      <c r="I123" s="63"/>
      <c r="J123" s="63"/>
      <c r="K123" s="64"/>
      <c r="L123" s="63"/>
      <c r="M123" s="63"/>
      <c r="N123" s="63"/>
      <c r="O123" s="63"/>
      <c r="P123" s="63"/>
      <c r="Q123" s="63"/>
      <c r="R123" s="63"/>
      <c r="S123" s="65"/>
      <c r="T123" s="65"/>
      <c r="U123" s="65"/>
      <c r="V123" s="65"/>
      <c r="W123" s="65"/>
      <c r="X123" s="63"/>
      <c r="Y123" s="63"/>
    </row>
    <row r="124" spans="1:25" x14ac:dyDescent="0.35">
      <c r="A124" s="102"/>
      <c r="B124" s="90"/>
      <c r="C124" s="85"/>
      <c r="D124" s="85"/>
      <c r="E124" s="85"/>
      <c r="F124" s="85"/>
      <c r="G124" s="86"/>
      <c r="H124" s="103"/>
      <c r="I124" s="63"/>
      <c r="J124" s="63"/>
      <c r="K124" s="64"/>
      <c r="L124" s="63"/>
      <c r="M124" s="63"/>
      <c r="N124" s="63"/>
      <c r="O124" s="63"/>
      <c r="P124" s="63"/>
      <c r="Q124" s="63"/>
      <c r="R124" s="63"/>
      <c r="S124" s="65"/>
      <c r="T124" s="65"/>
      <c r="U124" s="65"/>
      <c r="V124" s="65"/>
      <c r="W124" s="65"/>
      <c r="X124" s="63"/>
      <c r="Y124" s="63"/>
    </row>
    <row r="125" spans="1:25" ht="13.5" thickBot="1" x14ac:dyDescent="0.4">
      <c r="A125" s="102"/>
      <c r="B125" s="91"/>
      <c r="C125" s="92"/>
      <c r="D125" s="92"/>
      <c r="E125" s="92"/>
      <c r="F125" s="92"/>
      <c r="G125" s="98"/>
      <c r="H125" s="103"/>
      <c r="I125" s="63"/>
      <c r="J125" s="63"/>
      <c r="K125" s="64"/>
      <c r="L125" s="63"/>
      <c r="M125" s="63"/>
      <c r="N125" s="63"/>
      <c r="O125" s="63"/>
      <c r="P125" s="63"/>
      <c r="Q125" s="63"/>
      <c r="R125" s="63"/>
      <c r="S125" s="65"/>
      <c r="T125" s="65"/>
      <c r="U125" s="65"/>
      <c r="V125" s="65"/>
      <c r="W125" s="65"/>
      <c r="X125" s="63"/>
      <c r="Y125" s="63"/>
    </row>
    <row r="126" spans="1:25" x14ac:dyDescent="0.35">
      <c r="A126" s="102"/>
      <c r="B126" s="102"/>
      <c r="C126" s="103"/>
      <c r="D126" s="103"/>
      <c r="E126" s="103"/>
      <c r="F126" s="103"/>
      <c r="G126" s="102"/>
      <c r="H126" s="103"/>
      <c r="I126" s="63"/>
      <c r="J126" s="63"/>
      <c r="K126" s="64"/>
      <c r="L126" s="63"/>
      <c r="M126" s="63"/>
      <c r="N126" s="63"/>
      <c r="O126" s="63"/>
      <c r="P126" s="63"/>
      <c r="Q126" s="63"/>
      <c r="R126" s="63"/>
      <c r="S126" s="65"/>
      <c r="T126" s="65"/>
      <c r="U126" s="65"/>
      <c r="V126" s="65"/>
      <c r="W126" s="65"/>
      <c r="X126" s="63"/>
      <c r="Y126" s="63"/>
    </row>
    <row r="127" spans="1:25" hidden="1" x14ac:dyDescent="0.35">
      <c r="I127" s="63"/>
      <c r="J127" s="63"/>
      <c r="K127" s="64"/>
      <c r="L127" s="63"/>
      <c r="M127" s="63"/>
      <c r="N127" s="63"/>
      <c r="O127" s="63"/>
      <c r="P127" s="63"/>
      <c r="Q127" s="63"/>
      <c r="R127" s="63"/>
      <c r="S127" s="65"/>
      <c r="T127" s="65"/>
      <c r="U127" s="65"/>
      <c r="V127" s="65"/>
      <c r="W127" s="65"/>
      <c r="X127" s="63"/>
      <c r="Y127" s="63"/>
    </row>
    <row r="128" spans="1:25" hidden="1" x14ac:dyDescent="0.35">
      <c r="I128" s="63"/>
      <c r="J128" s="63"/>
      <c r="K128" s="64"/>
      <c r="L128" s="63"/>
      <c r="M128" s="63"/>
      <c r="N128" s="63"/>
      <c r="O128" s="63"/>
      <c r="P128" s="63"/>
      <c r="Q128" s="63"/>
      <c r="R128" s="63"/>
      <c r="S128" s="65"/>
      <c r="T128" s="65"/>
      <c r="U128" s="65"/>
      <c r="V128" s="65"/>
      <c r="W128" s="65"/>
      <c r="X128" s="63"/>
      <c r="Y128" s="63"/>
    </row>
    <row r="129" spans="9:25" hidden="1" x14ac:dyDescent="0.35">
      <c r="I129" s="63"/>
      <c r="J129" s="63"/>
      <c r="K129" s="64"/>
      <c r="L129" s="63"/>
      <c r="M129" s="63"/>
      <c r="N129" s="63"/>
      <c r="O129" s="63"/>
      <c r="P129" s="63"/>
      <c r="Q129" s="63"/>
      <c r="R129" s="63"/>
      <c r="S129" s="65"/>
      <c r="T129" s="65"/>
      <c r="U129" s="65"/>
      <c r="V129" s="65"/>
      <c r="W129" s="65"/>
      <c r="X129" s="63"/>
      <c r="Y129" s="63"/>
    </row>
    <row r="130" spans="9:25" hidden="1" x14ac:dyDescent="0.35">
      <c r="I130" s="63"/>
      <c r="J130" s="63"/>
      <c r="K130" s="64"/>
      <c r="L130" s="63"/>
      <c r="M130" s="63"/>
      <c r="N130" s="63"/>
      <c r="O130" s="63"/>
      <c r="P130" s="63"/>
      <c r="Q130" s="63"/>
      <c r="R130" s="63"/>
      <c r="S130" s="65"/>
      <c r="T130" s="65"/>
      <c r="U130" s="65"/>
      <c r="V130" s="65"/>
      <c r="W130" s="65"/>
      <c r="X130" s="63"/>
      <c r="Y130" s="63"/>
    </row>
    <row r="131" spans="9:25" hidden="1" x14ac:dyDescent="0.35">
      <c r="I131" s="63"/>
      <c r="J131" s="63"/>
      <c r="K131" s="64"/>
      <c r="L131" s="63"/>
      <c r="M131" s="63"/>
      <c r="N131" s="63"/>
      <c r="O131" s="63"/>
      <c r="P131" s="63"/>
      <c r="Q131" s="63"/>
      <c r="R131" s="63"/>
      <c r="S131" s="65"/>
      <c r="T131" s="65"/>
      <c r="U131" s="65"/>
      <c r="V131" s="65"/>
      <c r="W131" s="65"/>
      <c r="X131" s="63"/>
      <c r="Y131" s="63"/>
    </row>
    <row r="132" spans="9:25" hidden="1" x14ac:dyDescent="0.35">
      <c r="I132" s="63"/>
      <c r="J132" s="63"/>
      <c r="K132" s="64"/>
      <c r="L132" s="63"/>
      <c r="M132" s="63"/>
      <c r="N132" s="63"/>
      <c r="O132" s="63"/>
      <c r="P132" s="63"/>
      <c r="Q132" s="63"/>
      <c r="R132" s="63"/>
      <c r="S132" s="65"/>
      <c r="T132" s="65"/>
      <c r="U132" s="65"/>
      <c r="V132" s="65"/>
      <c r="W132" s="65"/>
      <c r="X132" s="63"/>
      <c r="Y132" s="63"/>
    </row>
    <row r="133" spans="9:25" hidden="1" x14ac:dyDescent="0.35">
      <c r="I133" s="63"/>
      <c r="J133" s="63"/>
      <c r="K133" s="64"/>
      <c r="L133" s="63"/>
      <c r="M133" s="63"/>
      <c r="N133" s="63"/>
      <c r="O133" s="63"/>
      <c r="P133" s="63"/>
      <c r="Q133" s="63"/>
      <c r="R133" s="63"/>
      <c r="S133" s="65"/>
      <c r="T133" s="65"/>
      <c r="U133" s="65"/>
      <c r="V133" s="65"/>
      <c r="W133" s="65"/>
      <c r="X133" s="63"/>
      <c r="Y133" s="63"/>
    </row>
    <row r="134" spans="9:25" hidden="1" x14ac:dyDescent="0.35">
      <c r="I134" s="63"/>
      <c r="J134" s="63"/>
      <c r="K134" s="64"/>
      <c r="L134" s="63"/>
      <c r="M134" s="63"/>
      <c r="N134" s="63"/>
      <c r="O134" s="63"/>
      <c r="P134" s="63"/>
      <c r="Q134" s="63"/>
      <c r="R134" s="63"/>
      <c r="S134" s="65"/>
      <c r="T134" s="65"/>
      <c r="U134" s="65"/>
      <c r="V134" s="65"/>
      <c r="W134" s="65"/>
      <c r="X134" s="63"/>
      <c r="Y134" s="63"/>
    </row>
    <row r="135" spans="9:25" hidden="1" x14ac:dyDescent="0.35">
      <c r="I135" s="63"/>
      <c r="J135" s="63"/>
      <c r="K135" s="64"/>
      <c r="L135" s="63"/>
      <c r="M135" s="63"/>
      <c r="N135" s="63"/>
      <c r="O135" s="63"/>
      <c r="P135" s="63"/>
      <c r="Q135" s="63"/>
      <c r="R135" s="63"/>
      <c r="S135" s="65"/>
      <c r="T135" s="65"/>
      <c r="U135" s="65"/>
      <c r="V135" s="65"/>
      <c r="W135" s="65"/>
      <c r="X135" s="63"/>
      <c r="Y135" s="63"/>
    </row>
    <row r="136" spans="9:25" hidden="1" x14ac:dyDescent="0.35">
      <c r="I136" s="63"/>
      <c r="J136" s="63"/>
      <c r="K136" s="64"/>
      <c r="L136" s="63"/>
      <c r="M136" s="63"/>
      <c r="N136" s="63"/>
      <c r="O136" s="63"/>
      <c r="P136" s="63"/>
      <c r="Q136" s="63"/>
      <c r="R136" s="63"/>
      <c r="S136" s="65"/>
      <c r="T136" s="65"/>
      <c r="U136" s="65"/>
      <c r="V136" s="65"/>
      <c r="W136" s="65"/>
      <c r="X136" s="63"/>
      <c r="Y136" s="63"/>
    </row>
    <row r="137" spans="9:25" hidden="1" x14ac:dyDescent="0.35">
      <c r="I137" s="63"/>
      <c r="J137" s="63"/>
      <c r="K137" s="64"/>
      <c r="L137" s="63"/>
      <c r="M137" s="63"/>
      <c r="N137" s="63"/>
      <c r="O137" s="63"/>
      <c r="P137" s="63"/>
      <c r="Q137" s="63"/>
      <c r="R137" s="63"/>
      <c r="S137" s="65"/>
      <c r="T137" s="65"/>
      <c r="U137" s="65"/>
      <c r="V137" s="65"/>
      <c r="W137" s="65"/>
      <c r="X137" s="63"/>
      <c r="Y137" s="63"/>
    </row>
    <row r="138" spans="9:25" hidden="1" x14ac:dyDescent="0.35">
      <c r="I138" s="63"/>
      <c r="J138" s="63"/>
      <c r="K138" s="64"/>
      <c r="L138" s="63"/>
      <c r="M138" s="63"/>
      <c r="N138" s="63"/>
      <c r="O138" s="63"/>
      <c r="P138" s="63"/>
      <c r="Q138" s="63"/>
      <c r="R138" s="63"/>
      <c r="S138" s="65"/>
      <c r="T138" s="65"/>
      <c r="U138" s="65"/>
      <c r="V138" s="65"/>
      <c r="W138" s="65"/>
      <c r="X138" s="63"/>
      <c r="Y138" s="63"/>
    </row>
    <row r="139" spans="9:25" hidden="1" x14ac:dyDescent="0.35">
      <c r="I139" s="63"/>
      <c r="J139" s="63"/>
      <c r="K139" s="64"/>
      <c r="L139" s="63"/>
      <c r="M139" s="63"/>
      <c r="N139" s="63"/>
      <c r="O139" s="63"/>
      <c r="P139" s="63"/>
      <c r="Q139" s="63"/>
      <c r="R139" s="63"/>
      <c r="S139" s="65"/>
      <c r="T139" s="65"/>
      <c r="U139" s="65"/>
      <c r="V139" s="65"/>
      <c r="W139" s="65"/>
      <c r="X139" s="63"/>
      <c r="Y139" s="63"/>
    </row>
    <row r="140" spans="9:25" hidden="1" x14ac:dyDescent="0.35">
      <c r="I140" s="63"/>
      <c r="J140" s="63"/>
      <c r="K140" s="64"/>
      <c r="L140" s="63"/>
      <c r="M140" s="63"/>
      <c r="N140" s="63"/>
      <c r="O140" s="63"/>
      <c r="P140" s="63"/>
      <c r="Q140" s="63"/>
      <c r="R140" s="63"/>
      <c r="S140" s="65"/>
      <c r="T140" s="65"/>
      <c r="U140" s="65"/>
      <c r="V140" s="65"/>
      <c r="W140" s="65"/>
      <c r="X140" s="63"/>
      <c r="Y140" s="63"/>
    </row>
    <row r="141" spans="9:25" hidden="1" x14ac:dyDescent="0.35">
      <c r="I141" s="63"/>
      <c r="J141" s="63"/>
      <c r="K141" s="64"/>
      <c r="L141" s="63"/>
      <c r="M141" s="63"/>
      <c r="N141" s="63"/>
      <c r="O141" s="63"/>
      <c r="P141" s="63"/>
      <c r="Q141" s="63"/>
      <c r="R141" s="63"/>
      <c r="S141" s="65"/>
      <c r="T141" s="65"/>
      <c r="U141" s="65"/>
      <c r="V141" s="65"/>
      <c r="W141" s="65"/>
      <c r="X141" s="63"/>
      <c r="Y141" s="63"/>
    </row>
    <row r="142" spans="9:25" hidden="1" x14ac:dyDescent="0.35">
      <c r="I142" s="63"/>
      <c r="J142" s="63"/>
      <c r="K142" s="64"/>
      <c r="L142" s="63"/>
      <c r="M142" s="63"/>
      <c r="N142" s="63"/>
      <c r="O142" s="63"/>
      <c r="P142" s="63"/>
      <c r="Q142" s="63"/>
      <c r="R142" s="63"/>
      <c r="S142" s="65"/>
      <c r="T142" s="65"/>
      <c r="U142" s="65"/>
      <c r="V142" s="65"/>
      <c r="W142" s="65"/>
      <c r="X142" s="63"/>
      <c r="Y142" s="63"/>
    </row>
    <row r="143" spans="9:25" hidden="1" x14ac:dyDescent="0.35">
      <c r="I143" s="63"/>
      <c r="J143" s="63"/>
      <c r="K143" s="64"/>
      <c r="L143" s="63"/>
      <c r="M143" s="63"/>
      <c r="N143" s="63"/>
      <c r="O143" s="63"/>
      <c r="P143" s="63"/>
      <c r="Q143" s="63"/>
      <c r="R143" s="63"/>
      <c r="S143" s="65"/>
      <c r="T143" s="65"/>
      <c r="U143" s="65"/>
      <c r="V143" s="65"/>
      <c r="W143" s="65"/>
      <c r="X143" s="63"/>
      <c r="Y143" s="63"/>
    </row>
    <row r="144" spans="9:25" hidden="1" x14ac:dyDescent="0.35">
      <c r="I144" s="63"/>
      <c r="J144" s="63"/>
      <c r="K144" s="64"/>
      <c r="L144" s="63"/>
      <c r="M144" s="63"/>
      <c r="N144" s="63"/>
      <c r="O144" s="63"/>
      <c r="P144" s="63"/>
      <c r="Q144" s="63"/>
      <c r="R144" s="63"/>
      <c r="S144" s="65"/>
      <c r="T144" s="65"/>
      <c r="U144" s="65"/>
      <c r="V144" s="65"/>
      <c r="W144" s="65"/>
      <c r="X144" s="63"/>
      <c r="Y144" s="63"/>
    </row>
    <row r="145" spans="8:25" hidden="1" x14ac:dyDescent="0.35">
      <c r="I145" s="63"/>
      <c r="J145" s="63"/>
      <c r="K145" s="64"/>
      <c r="L145" s="63"/>
      <c r="M145" s="63"/>
      <c r="N145" s="63"/>
      <c r="O145" s="63"/>
      <c r="P145" s="63"/>
      <c r="Q145" s="63"/>
      <c r="R145" s="63"/>
      <c r="S145" s="65"/>
      <c r="T145" s="65"/>
      <c r="U145" s="65"/>
      <c r="V145" s="65"/>
      <c r="W145" s="65"/>
      <c r="X145" s="63"/>
      <c r="Y145" s="63"/>
    </row>
    <row r="146" spans="8:25" hidden="1" x14ac:dyDescent="0.35">
      <c r="I146" s="63"/>
      <c r="J146" s="63"/>
      <c r="K146" s="64"/>
      <c r="L146" s="63"/>
      <c r="M146" s="63"/>
      <c r="N146" s="63"/>
      <c r="O146" s="63"/>
      <c r="P146" s="63"/>
      <c r="Q146" s="63"/>
      <c r="R146" s="63"/>
      <c r="S146" s="65"/>
      <c r="T146" s="65"/>
      <c r="U146" s="65"/>
      <c r="V146" s="65"/>
      <c r="W146" s="65"/>
      <c r="X146" s="63"/>
      <c r="Y146" s="63"/>
    </row>
    <row r="147" spans="8:25" hidden="1" x14ac:dyDescent="0.35">
      <c r="I147" s="63"/>
      <c r="J147" s="63"/>
      <c r="K147" s="64"/>
      <c r="L147" s="63"/>
      <c r="M147" s="63"/>
      <c r="N147" s="63"/>
      <c r="O147" s="63"/>
      <c r="P147" s="63"/>
      <c r="Q147" s="63"/>
      <c r="R147" s="63"/>
      <c r="S147" s="65"/>
      <c r="T147" s="65"/>
      <c r="U147" s="65"/>
      <c r="V147" s="65"/>
      <c r="W147" s="65"/>
      <c r="X147" s="63"/>
      <c r="Y147" s="63"/>
    </row>
    <row r="148" spans="8:25" hidden="1" x14ac:dyDescent="0.35">
      <c r="I148" s="63"/>
      <c r="J148" s="63"/>
      <c r="K148" s="64"/>
      <c r="L148" s="63"/>
      <c r="M148" s="63"/>
      <c r="N148" s="63"/>
      <c r="O148" s="63"/>
      <c r="P148" s="63"/>
      <c r="Q148" s="63"/>
      <c r="R148" s="63"/>
      <c r="S148" s="65"/>
      <c r="T148" s="65"/>
      <c r="U148" s="65"/>
      <c r="V148" s="65"/>
      <c r="W148" s="65"/>
      <c r="X148" s="63"/>
      <c r="Y148" s="63"/>
    </row>
    <row r="149" spans="8:25" hidden="1" x14ac:dyDescent="0.35">
      <c r="I149" s="63"/>
      <c r="J149" s="63"/>
      <c r="K149" s="64"/>
      <c r="L149" s="63"/>
      <c r="M149" s="63"/>
      <c r="N149" s="63"/>
      <c r="O149" s="63"/>
      <c r="P149" s="63"/>
      <c r="Q149" s="63"/>
      <c r="R149" s="63"/>
      <c r="S149" s="65"/>
      <c r="T149" s="65"/>
      <c r="U149" s="65"/>
      <c r="V149" s="65"/>
      <c r="W149" s="65"/>
      <c r="X149" s="63"/>
      <c r="Y149" s="63"/>
    </row>
    <row r="150" spans="8:25" hidden="1" x14ac:dyDescent="0.35">
      <c r="I150" s="63"/>
      <c r="J150" s="63"/>
      <c r="K150" s="64"/>
      <c r="L150" s="63"/>
      <c r="M150" s="63"/>
      <c r="N150" s="63"/>
      <c r="O150" s="63"/>
      <c r="P150" s="63"/>
      <c r="Q150" s="63"/>
      <c r="R150" s="63"/>
      <c r="S150" s="65"/>
      <c r="T150" s="65"/>
      <c r="U150" s="65"/>
      <c r="V150" s="65"/>
      <c r="W150" s="65"/>
      <c r="X150" s="63"/>
      <c r="Y150" s="63"/>
    </row>
    <row r="151" spans="8:25" hidden="1" x14ac:dyDescent="0.35">
      <c r="I151" s="63"/>
      <c r="J151" s="63"/>
      <c r="K151" s="64"/>
      <c r="L151" s="63"/>
      <c r="M151" s="63"/>
      <c r="N151" s="63"/>
      <c r="O151" s="63"/>
      <c r="P151" s="63"/>
      <c r="Q151" s="63"/>
      <c r="R151" s="63"/>
      <c r="S151" s="65"/>
      <c r="T151" s="65"/>
      <c r="U151" s="65"/>
      <c r="V151" s="65"/>
      <c r="W151" s="65"/>
      <c r="X151" s="63"/>
      <c r="Y151" s="63"/>
    </row>
    <row r="152" spans="8:25" hidden="1" x14ac:dyDescent="0.35">
      <c r="I152" s="63"/>
      <c r="J152" s="63"/>
      <c r="K152" s="64"/>
      <c r="L152" s="63"/>
      <c r="M152" s="63"/>
      <c r="N152" s="63"/>
      <c r="O152" s="63"/>
      <c r="P152" s="63"/>
      <c r="Q152" s="63"/>
      <c r="R152" s="63"/>
      <c r="S152" s="65"/>
      <c r="T152" s="65"/>
      <c r="U152" s="65"/>
      <c r="V152" s="65"/>
      <c r="W152" s="65"/>
      <c r="X152" s="63"/>
      <c r="Y152" s="63"/>
    </row>
    <row r="153" spans="8:25" hidden="1" x14ac:dyDescent="0.35">
      <c r="I153" s="63"/>
      <c r="J153" s="63"/>
      <c r="K153" s="64"/>
      <c r="L153" s="63"/>
      <c r="M153" s="63"/>
      <c r="N153" s="63"/>
      <c r="O153" s="63"/>
      <c r="P153" s="63"/>
      <c r="Q153" s="63"/>
      <c r="R153" s="63"/>
      <c r="S153" s="65"/>
      <c r="T153" s="65"/>
      <c r="U153" s="65"/>
      <c r="V153" s="65"/>
      <c r="W153" s="65"/>
      <c r="X153" s="63"/>
      <c r="Y153" s="63"/>
    </row>
    <row r="154" spans="8:25" hidden="1" x14ac:dyDescent="0.35">
      <c r="H154" s="9"/>
      <c r="I154" s="63"/>
      <c r="J154" s="63"/>
      <c r="K154" s="64"/>
      <c r="L154" s="63"/>
      <c r="M154" s="63"/>
      <c r="N154" s="63"/>
      <c r="O154" s="63"/>
      <c r="P154" s="63"/>
      <c r="Q154" s="63"/>
      <c r="R154" s="63"/>
      <c r="S154" s="65"/>
      <c r="T154" s="65"/>
      <c r="U154" s="65"/>
      <c r="V154" s="65"/>
      <c r="W154" s="65"/>
      <c r="X154" s="63"/>
      <c r="Y154" s="63"/>
    </row>
    <row r="155" spans="8:25" hidden="1" x14ac:dyDescent="0.35">
      <c r="H155" s="9"/>
      <c r="I155" s="63"/>
      <c r="J155" s="63"/>
      <c r="K155" s="64"/>
      <c r="L155" s="63"/>
      <c r="M155" s="63"/>
      <c r="N155" s="63"/>
      <c r="O155" s="63"/>
      <c r="P155" s="63"/>
      <c r="Q155" s="63"/>
      <c r="R155" s="63"/>
      <c r="S155" s="65"/>
      <c r="T155" s="65"/>
      <c r="U155" s="65"/>
      <c r="V155" s="65"/>
      <c r="W155" s="65"/>
      <c r="X155" s="63"/>
      <c r="Y155" s="63"/>
    </row>
    <row r="156" spans="8:25" hidden="1" x14ac:dyDescent="0.35">
      <c r="I156" s="63"/>
      <c r="J156" s="63"/>
      <c r="K156" s="64"/>
      <c r="L156" s="63"/>
      <c r="M156" s="63"/>
      <c r="N156" s="63"/>
      <c r="O156" s="63"/>
      <c r="P156" s="63"/>
      <c r="Q156" s="63"/>
      <c r="R156" s="63"/>
      <c r="S156" s="65"/>
      <c r="T156" s="65"/>
      <c r="U156" s="65"/>
      <c r="V156" s="65"/>
      <c r="W156" s="65"/>
      <c r="X156" s="63"/>
      <c r="Y156" s="63"/>
    </row>
    <row r="157" spans="8:25" hidden="1" x14ac:dyDescent="0.35">
      <c r="I157" s="63"/>
      <c r="J157" s="63"/>
      <c r="K157" s="64"/>
      <c r="L157" s="63"/>
      <c r="M157" s="63"/>
      <c r="N157" s="63"/>
      <c r="O157" s="63"/>
      <c r="P157" s="63"/>
      <c r="Q157" s="63"/>
      <c r="R157" s="63"/>
      <c r="S157" s="65"/>
      <c r="T157" s="65"/>
      <c r="U157" s="65"/>
      <c r="V157" s="65"/>
      <c r="W157" s="65"/>
      <c r="X157" s="63"/>
      <c r="Y157" s="63"/>
    </row>
    <row r="158" spans="8:25" hidden="1" x14ac:dyDescent="0.35">
      <c r="I158" s="63"/>
      <c r="J158" s="63"/>
      <c r="K158" s="64"/>
      <c r="L158" s="63"/>
      <c r="M158" s="63"/>
      <c r="N158" s="63"/>
      <c r="O158" s="63"/>
      <c r="P158" s="63"/>
      <c r="Q158" s="63"/>
      <c r="R158" s="63"/>
      <c r="S158" s="65"/>
      <c r="T158" s="65"/>
      <c r="U158" s="65"/>
      <c r="V158" s="65"/>
      <c r="W158" s="65"/>
      <c r="X158" s="63"/>
      <c r="Y158" s="63"/>
    </row>
    <row r="159" spans="8:25" hidden="1" x14ac:dyDescent="0.35">
      <c r="I159" s="63"/>
      <c r="J159" s="63"/>
      <c r="K159" s="64"/>
      <c r="L159" s="63"/>
      <c r="M159" s="63"/>
      <c r="N159" s="63"/>
      <c r="O159" s="63"/>
      <c r="P159" s="63"/>
      <c r="Q159" s="63"/>
      <c r="R159" s="63"/>
      <c r="S159" s="65"/>
      <c r="T159" s="65"/>
      <c r="U159" s="65"/>
      <c r="V159" s="65"/>
      <c r="W159" s="65"/>
      <c r="X159" s="63"/>
      <c r="Y159" s="63"/>
    </row>
    <row r="160" spans="8:25" hidden="1" x14ac:dyDescent="0.35">
      <c r="I160" s="63"/>
      <c r="J160" s="63"/>
      <c r="K160" s="64"/>
      <c r="L160" s="63"/>
      <c r="M160" s="63"/>
      <c r="N160" s="63"/>
      <c r="O160" s="63"/>
      <c r="P160" s="63"/>
      <c r="Q160" s="63"/>
      <c r="R160" s="63"/>
      <c r="S160" s="65"/>
      <c r="T160" s="65"/>
      <c r="U160" s="65"/>
      <c r="V160" s="65"/>
      <c r="W160" s="65"/>
      <c r="X160" s="63"/>
      <c r="Y160" s="63"/>
    </row>
    <row r="161" spans="9:25" hidden="1" x14ac:dyDescent="0.35">
      <c r="I161" s="63"/>
      <c r="J161" s="63"/>
      <c r="K161" s="64"/>
      <c r="L161" s="63"/>
      <c r="M161" s="63"/>
      <c r="N161" s="63"/>
      <c r="O161" s="63"/>
      <c r="P161" s="63"/>
      <c r="Q161" s="63"/>
      <c r="R161" s="63"/>
      <c r="S161" s="65"/>
      <c r="T161" s="65"/>
      <c r="U161" s="65"/>
      <c r="V161" s="65"/>
      <c r="W161" s="65"/>
      <c r="X161" s="63"/>
      <c r="Y161" s="63"/>
    </row>
    <row r="162" spans="9:25" hidden="1" x14ac:dyDescent="0.35">
      <c r="I162" s="63"/>
      <c r="J162" s="63"/>
      <c r="K162" s="64"/>
      <c r="L162" s="63"/>
      <c r="M162" s="63"/>
      <c r="N162" s="63"/>
      <c r="O162" s="63"/>
      <c r="P162" s="63"/>
      <c r="Q162" s="63"/>
      <c r="R162" s="63"/>
      <c r="S162" s="65"/>
      <c r="T162" s="65"/>
      <c r="U162" s="65"/>
      <c r="V162" s="65"/>
      <c r="W162" s="65"/>
      <c r="X162" s="63"/>
      <c r="Y162" s="63"/>
    </row>
    <row r="163" spans="9:25" hidden="1" x14ac:dyDescent="0.35">
      <c r="I163" s="63"/>
      <c r="J163" s="63"/>
      <c r="K163" s="64"/>
      <c r="L163" s="63"/>
      <c r="M163" s="63"/>
      <c r="N163" s="63"/>
      <c r="O163" s="63"/>
      <c r="P163" s="63"/>
      <c r="Q163" s="63"/>
      <c r="R163" s="63"/>
      <c r="S163" s="65"/>
      <c r="T163" s="65"/>
      <c r="U163" s="65"/>
      <c r="V163" s="65"/>
      <c r="W163" s="65"/>
      <c r="X163" s="63"/>
      <c r="Y163" s="63"/>
    </row>
    <row r="164" spans="9:25" hidden="1" x14ac:dyDescent="0.35">
      <c r="I164" s="63"/>
      <c r="J164" s="63"/>
      <c r="K164" s="64"/>
      <c r="L164" s="63"/>
      <c r="M164" s="63"/>
      <c r="N164" s="63"/>
      <c r="O164" s="63"/>
      <c r="P164" s="63"/>
      <c r="Q164" s="63"/>
      <c r="R164" s="63"/>
      <c r="S164" s="65"/>
      <c r="T164" s="65"/>
      <c r="U164" s="65"/>
      <c r="V164" s="65"/>
      <c r="W164" s="65"/>
      <c r="X164" s="63"/>
      <c r="Y164" s="63"/>
    </row>
    <row r="165" spans="9:25" hidden="1" x14ac:dyDescent="0.35">
      <c r="I165" s="63"/>
      <c r="J165" s="63"/>
      <c r="K165" s="64"/>
      <c r="L165" s="63"/>
      <c r="M165" s="63"/>
      <c r="N165" s="63"/>
      <c r="O165" s="63"/>
      <c r="P165" s="63"/>
      <c r="Q165" s="63"/>
      <c r="R165" s="63"/>
      <c r="S165" s="65"/>
      <c r="T165" s="65"/>
      <c r="U165" s="65"/>
      <c r="V165" s="65"/>
      <c r="W165" s="65"/>
      <c r="X165" s="63"/>
      <c r="Y165" s="63"/>
    </row>
    <row r="166" spans="9:25" hidden="1" x14ac:dyDescent="0.35">
      <c r="I166" s="63"/>
      <c r="J166" s="63"/>
      <c r="K166" s="64"/>
      <c r="L166" s="63"/>
      <c r="M166" s="63"/>
      <c r="N166" s="63"/>
      <c r="O166" s="63"/>
      <c r="P166" s="63"/>
      <c r="Q166" s="63"/>
      <c r="R166" s="63"/>
      <c r="S166" s="65"/>
      <c r="T166" s="65"/>
      <c r="U166" s="65"/>
      <c r="V166" s="65"/>
      <c r="W166" s="65"/>
      <c r="X166" s="63"/>
      <c r="Y166" s="63"/>
    </row>
    <row r="167" spans="9:25" hidden="1" x14ac:dyDescent="0.35">
      <c r="I167" s="63"/>
      <c r="J167" s="63"/>
      <c r="K167" s="64"/>
      <c r="L167" s="63"/>
      <c r="M167" s="63"/>
      <c r="N167" s="63"/>
      <c r="O167" s="63"/>
      <c r="P167" s="63"/>
      <c r="Q167" s="63"/>
      <c r="R167" s="63"/>
      <c r="S167" s="65"/>
      <c r="T167" s="65"/>
      <c r="U167" s="65"/>
      <c r="V167" s="65"/>
      <c r="W167" s="65"/>
      <c r="X167" s="63"/>
      <c r="Y167" s="63"/>
    </row>
    <row r="168" spans="9:25" hidden="1" x14ac:dyDescent="0.35">
      <c r="I168" s="63"/>
      <c r="J168" s="63"/>
      <c r="K168" s="64"/>
      <c r="L168" s="63"/>
      <c r="M168" s="63"/>
      <c r="N168" s="63"/>
      <c r="O168" s="63"/>
      <c r="P168" s="63"/>
      <c r="Q168" s="63"/>
      <c r="R168" s="63"/>
      <c r="S168" s="65"/>
      <c r="T168" s="65"/>
      <c r="U168" s="65"/>
      <c r="V168" s="65"/>
      <c r="W168" s="65"/>
      <c r="X168" s="63"/>
      <c r="Y168" s="63"/>
    </row>
    <row r="169" spans="9:25" hidden="1" x14ac:dyDescent="0.35">
      <c r="I169" s="63"/>
      <c r="J169" s="63"/>
      <c r="K169" s="64"/>
      <c r="L169" s="63"/>
      <c r="M169" s="63"/>
      <c r="N169" s="63"/>
      <c r="O169" s="63"/>
      <c r="P169" s="63"/>
      <c r="Q169" s="63"/>
      <c r="R169" s="63"/>
      <c r="S169" s="65"/>
      <c r="T169" s="65"/>
      <c r="U169" s="65"/>
      <c r="V169" s="65"/>
      <c r="W169" s="65"/>
      <c r="X169" s="63"/>
      <c r="Y169" s="63"/>
    </row>
    <row r="170" spans="9:25" hidden="1" x14ac:dyDescent="0.35">
      <c r="I170" s="63"/>
      <c r="J170" s="63"/>
      <c r="K170" s="64"/>
      <c r="L170" s="63"/>
      <c r="M170" s="63"/>
      <c r="N170" s="63"/>
      <c r="O170" s="63"/>
      <c r="P170" s="63"/>
      <c r="Q170" s="63"/>
      <c r="R170" s="63"/>
      <c r="S170" s="65"/>
      <c r="T170" s="65"/>
      <c r="U170" s="65"/>
      <c r="V170" s="65"/>
      <c r="W170" s="65"/>
      <c r="X170" s="63"/>
      <c r="Y170" s="63"/>
    </row>
    <row r="171" spans="9:25" hidden="1" x14ac:dyDescent="0.35">
      <c r="I171" s="63"/>
      <c r="J171" s="63"/>
      <c r="K171" s="64"/>
      <c r="L171" s="63"/>
      <c r="M171" s="63"/>
      <c r="N171" s="63"/>
      <c r="O171" s="63"/>
      <c r="P171" s="63"/>
      <c r="Q171" s="63"/>
      <c r="R171" s="63"/>
      <c r="S171" s="65"/>
      <c r="T171" s="65"/>
      <c r="U171" s="65"/>
      <c r="V171" s="65"/>
      <c r="W171" s="65"/>
      <c r="X171" s="63"/>
      <c r="Y171" s="63"/>
    </row>
    <row r="172" spans="9:25" hidden="1" x14ac:dyDescent="0.35">
      <c r="I172" s="63"/>
      <c r="J172" s="63"/>
      <c r="K172" s="64"/>
      <c r="L172" s="63"/>
      <c r="M172" s="63"/>
      <c r="N172" s="63"/>
      <c r="O172" s="63"/>
      <c r="P172" s="63"/>
      <c r="Q172" s="63"/>
      <c r="R172" s="63"/>
      <c r="S172" s="65"/>
      <c r="T172" s="65"/>
      <c r="U172" s="65"/>
      <c r="V172" s="65"/>
      <c r="W172" s="65"/>
      <c r="X172" s="63"/>
      <c r="Y172" s="63"/>
    </row>
    <row r="173" spans="9:25" hidden="1" x14ac:dyDescent="0.35">
      <c r="I173" s="63"/>
      <c r="J173" s="63"/>
      <c r="K173" s="64"/>
      <c r="L173" s="63"/>
      <c r="M173" s="63"/>
      <c r="N173" s="63"/>
      <c r="O173" s="63"/>
      <c r="P173" s="63"/>
      <c r="Q173" s="63"/>
      <c r="R173" s="63"/>
      <c r="S173" s="65"/>
      <c r="T173" s="65"/>
      <c r="U173" s="65"/>
      <c r="V173" s="65"/>
      <c r="W173" s="65"/>
      <c r="X173" s="63"/>
      <c r="Y173" s="63"/>
    </row>
    <row r="174" spans="9:25" hidden="1" x14ac:dyDescent="0.35">
      <c r="I174" s="63"/>
      <c r="J174" s="63"/>
      <c r="K174" s="64"/>
      <c r="L174" s="63"/>
      <c r="M174" s="63"/>
      <c r="N174" s="63"/>
      <c r="O174" s="63"/>
      <c r="P174" s="63"/>
      <c r="Q174" s="63"/>
      <c r="R174" s="63"/>
      <c r="S174" s="65"/>
      <c r="T174" s="65"/>
      <c r="U174" s="65"/>
      <c r="V174" s="65"/>
      <c r="W174" s="65"/>
      <c r="X174" s="63"/>
      <c r="Y174" s="63"/>
    </row>
    <row r="175" spans="9:25" hidden="1" x14ac:dyDescent="0.35">
      <c r="I175" s="63"/>
      <c r="J175" s="63"/>
      <c r="K175" s="64"/>
      <c r="L175" s="63"/>
      <c r="M175" s="63"/>
      <c r="N175" s="63"/>
      <c r="O175" s="63"/>
      <c r="P175" s="63"/>
      <c r="Q175" s="63"/>
      <c r="R175" s="63"/>
      <c r="S175" s="65"/>
      <c r="T175" s="65"/>
      <c r="U175" s="65"/>
      <c r="V175" s="65"/>
      <c r="W175" s="65"/>
      <c r="X175" s="63"/>
      <c r="Y175" s="63"/>
    </row>
    <row r="176" spans="9:25" hidden="1" x14ac:dyDescent="0.35">
      <c r="I176" s="63"/>
      <c r="J176" s="63"/>
      <c r="K176" s="64"/>
      <c r="L176" s="63"/>
      <c r="M176" s="63"/>
      <c r="N176" s="63"/>
      <c r="O176" s="63"/>
      <c r="P176" s="63"/>
      <c r="Q176" s="63"/>
      <c r="R176" s="63"/>
      <c r="S176" s="65"/>
      <c r="T176" s="65"/>
      <c r="U176" s="65"/>
      <c r="V176" s="65"/>
      <c r="W176" s="65"/>
      <c r="X176" s="63"/>
      <c r="Y176" s="63"/>
    </row>
    <row r="177" spans="9:25" hidden="1" x14ac:dyDescent="0.35">
      <c r="I177" s="63"/>
      <c r="J177" s="63"/>
      <c r="K177" s="64"/>
      <c r="L177" s="63"/>
      <c r="M177" s="63"/>
      <c r="N177" s="63"/>
      <c r="O177" s="63"/>
      <c r="P177" s="63"/>
      <c r="Q177" s="63"/>
      <c r="R177" s="63"/>
      <c r="S177" s="65"/>
      <c r="T177" s="65"/>
      <c r="U177" s="65"/>
      <c r="V177" s="65"/>
      <c r="W177" s="65"/>
      <c r="X177" s="63"/>
      <c r="Y177" s="63"/>
    </row>
    <row r="178" spans="9:25" hidden="1" x14ac:dyDescent="0.35">
      <c r="I178" s="63"/>
      <c r="J178" s="63"/>
      <c r="K178" s="64"/>
      <c r="L178" s="63"/>
      <c r="M178" s="63"/>
      <c r="N178" s="63"/>
      <c r="O178" s="63"/>
      <c r="P178" s="63"/>
      <c r="Q178" s="63"/>
      <c r="R178" s="63"/>
      <c r="S178" s="65"/>
      <c r="T178" s="65"/>
      <c r="U178" s="65"/>
      <c r="V178" s="65"/>
      <c r="W178" s="65"/>
      <c r="X178" s="63"/>
      <c r="Y178" s="63"/>
    </row>
    <row r="179" spans="9:25" hidden="1" x14ac:dyDescent="0.35">
      <c r="I179" s="63"/>
      <c r="J179" s="63"/>
      <c r="K179" s="64"/>
      <c r="L179" s="63"/>
      <c r="M179" s="63"/>
      <c r="N179" s="63"/>
      <c r="O179" s="63"/>
      <c r="P179" s="63"/>
      <c r="Q179" s="63"/>
      <c r="R179" s="63"/>
      <c r="S179" s="65"/>
      <c r="T179" s="65"/>
      <c r="U179" s="65"/>
      <c r="V179" s="65"/>
      <c r="W179" s="65"/>
      <c r="X179" s="63"/>
      <c r="Y179" s="63"/>
    </row>
    <row r="180" spans="9:25" hidden="1" x14ac:dyDescent="0.35">
      <c r="I180" s="63"/>
      <c r="J180" s="63"/>
      <c r="K180" s="64"/>
      <c r="L180" s="63"/>
      <c r="M180" s="63"/>
      <c r="N180" s="63"/>
      <c r="O180" s="63"/>
      <c r="P180" s="63"/>
      <c r="Q180" s="63"/>
      <c r="R180" s="63"/>
      <c r="S180" s="65"/>
      <c r="T180" s="65"/>
      <c r="U180" s="65"/>
      <c r="V180" s="65"/>
      <c r="W180" s="65"/>
      <c r="X180" s="63"/>
      <c r="Y180" s="63"/>
    </row>
    <row r="181" spans="9:25" hidden="1" x14ac:dyDescent="0.35">
      <c r="I181" s="63"/>
      <c r="J181" s="63"/>
      <c r="K181" s="64"/>
      <c r="L181" s="63"/>
      <c r="M181" s="63"/>
      <c r="N181" s="63"/>
      <c r="O181" s="63"/>
      <c r="P181" s="63"/>
      <c r="Q181" s="63"/>
      <c r="R181" s="63"/>
      <c r="S181" s="65"/>
      <c r="T181" s="65"/>
      <c r="U181" s="65"/>
      <c r="V181" s="65"/>
      <c r="W181" s="65"/>
      <c r="X181" s="63"/>
      <c r="Y181" s="63"/>
    </row>
    <row r="182" spans="9:25" hidden="1" x14ac:dyDescent="0.35">
      <c r="I182" s="63"/>
      <c r="J182" s="63"/>
      <c r="K182" s="64"/>
      <c r="L182" s="63"/>
      <c r="M182" s="63"/>
      <c r="N182" s="63"/>
      <c r="O182" s="63"/>
      <c r="P182" s="63"/>
      <c r="Q182" s="63"/>
      <c r="R182" s="63"/>
      <c r="S182" s="65"/>
      <c r="T182" s="65"/>
      <c r="U182" s="65"/>
      <c r="V182" s="65"/>
      <c r="W182" s="65"/>
      <c r="X182" s="63"/>
      <c r="Y182" s="63"/>
    </row>
    <row r="183" spans="9:25" hidden="1" x14ac:dyDescent="0.35">
      <c r="I183" s="63"/>
      <c r="J183" s="63"/>
      <c r="K183" s="64"/>
      <c r="L183" s="63"/>
      <c r="M183" s="63"/>
      <c r="N183" s="63"/>
      <c r="O183" s="63"/>
      <c r="P183" s="63"/>
      <c r="Q183" s="63"/>
      <c r="R183" s="63"/>
      <c r="S183" s="65"/>
      <c r="T183" s="65"/>
      <c r="U183" s="65"/>
      <c r="V183" s="65"/>
      <c r="W183" s="65"/>
      <c r="X183" s="63"/>
      <c r="Y183" s="63"/>
    </row>
    <row r="184" spans="9:25" hidden="1" x14ac:dyDescent="0.35">
      <c r="I184" s="63"/>
      <c r="J184" s="63"/>
      <c r="K184" s="64"/>
      <c r="L184" s="63"/>
      <c r="M184" s="63"/>
      <c r="N184" s="63"/>
      <c r="O184" s="63"/>
      <c r="P184" s="63"/>
      <c r="Q184" s="63"/>
      <c r="R184" s="63"/>
      <c r="S184" s="65"/>
      <c r="T184" s="65"/>
      <c r="U184" s="65"/>
      <c r="V184" s="65"/>
      <c r="W184" s="65"/>
      <c r="X184" s="63"/>
      <c r="Y184" s="63"/>
    </row>
    <row r="185" spans="9:25" hidden="1" x14ac:dyDescent="0.35">
      <c r="I185" s="63"/>
      <c r="J185" s="63"/>
      <c r="K185" s="64"/>
      <c r="L185" s="63"/>
      <c r="M185" s="63"/>
      <c r="N185" s="63"/>
      <c r="O185" s="63"/>
      <c r="P185" s="63"/>
      <c r="Q185" s="63"/>
      <c r="R185" s="63"/>
      <c r="S185" s="65"/>
      <c r="T185" s="65"/>
      <c r="U185" s="65"/>
      <c r="V185" s="65"/>
      <c r="W185" s="65"/>
      <c r="X185" s="63"/>
      <c r="Y185" s="63"/>
    </row>
    <row r="186" spans="9:25" hidden="1" x14ac:dyDescent="0.35">
      <c r="I186" s="63"/>
      <c r="J186" s="63"/>
      <c r="K186" s="64"/>
      <c r="L186" s="63"/>
      <c r="M186" s="63"/>
      <c r="N186" s="63"/>
      <c r="O186" s="63"/>
      <c r="P186" s="63"/>
      <c r="Q186" s="63"/>
      <c r="R186" s="63"/>
      <c r="S186" s="65"/>
      <c r="T186" s="65"/>
      <c r="U186" s="65"/>
      <c r="V186" s="65"/>
      <c r="W186" s="65"/>
      <c r="X186" s="63"/>
      <c r="Y186" s="63"/>
    </row>
    <row r="187" spans="9:25" hidden="1" x14ac:dyDescent="0.35">
      <c r="I187" s="63"/>
      <c r="J187" s="63"/>
      <c r="K187" s="64"/>
      <c r="L187" s="63"/>
      <c r="M187" s="63"/>
      <c r="N187" s="63"/>
      <c r="O187" s="63"/>
      <c r="P187" s="63"/>
      <c r="Q187" s="63"/>
      <c r="R187" s="63"/>
      <c r="S187" s="65"/>
      <c r="T187" s="65"/>
      <c r="U187" s="65"/>
      <c r="V187" s="65"/>
      <c r="W187" s="65"/>
      <c r="X187" s="63"/>
      <c r="Y187" s="63"/>
    </row>
    <row r="188" spans="9:25" hidden="1" x14ac:dyDescent="0.35">
      <c r="I188" s="63"/>
      <c r="J188" s="63"/>
      <c r="K188" s="64"/>
      <c r="L188" s="63"/>
      <c r="M188" s="63"/>
      <c r="N188" s="63"/>
      <c r="O188" s="63"/>
      <c r="P188" s="63"/>
      <c r="Q188" s="63"/>
      <c r="R188" s="63"/>
      <c r="S188" s="65"/>
      <c r="T188" s="65"/>
      <c r="U188" s="65"/>
      <c r="V188" s="65"/>
      <c r="W188" s="65"/>
      <c r="X188" s="63"/>
      <c r="Y188" s="63"/>
    </row>
    <row r="189" spans="9:25" hidden="1" x14ac:dyDescent="0.35">
      <c r="I189" s="63"/>
      <c r="J189" s="63"/>
      <c r="K189" s="64"/>
      <c r="L189" s="63"/>
      <c r="M189" s="63"/>
      <c r="N189" s="63"/>
      <c r="O189" s="63"/>
      <c r="P189" s="63"/>
      <c r="Q189" s="63"/>
      <c r="R189" s="63"/>
      <c r="S189" s="65"/>
      <c r="T189" s="65"/>
      <c r="U189" s="65"/>
      <c r="V189" s="65"/>
      <c r="W189" s="65"/>
      <c r="X189" s="63"/>
      <c r="Y189" s="63"/>
    </row>
    <row r="190" spans="9:25" hidden="1" x14ac:dyDescent="0.35">
      <c r="I190" s="63"/>
      <c r="J190" s="63"/>
      <c r="K190" s="64"/>
      <c r="L190" s="63"/>
      <c r="M190" s="63"/>
      <c r="N190" s="63"/>
      <c r="O190" s="63"/>
      <c r="P190" s="63"/>
      <c r="Q190" s="63"/>
      <c r="R190" s="63"/>
      <c r="S190" s="65"/>
      <c r="T190" s="65"/>
      <c r="U190" s="65"/>
      <c r="V190" s="65"/>
      <c r="W190" s="65"/>
      <c r="X190" s="63"/>
      <c r="Y190" s="63"/>
    </row>
    <row r="191" spans="9:25" hidden="1" x14ac:dyDescent="0.35">
      <c r="I191" s="63"/>
      <c r="J191" s="63"/>
      <c r="K191" s="64"/>
      <c r="L191" s="63"/>
      <c r="M191" s="63"/>
      <c r="N191" s="63"/>
      <c r="O191" s="63"/>
      <c r="P191" s="63"/>
      <c r="Q191" s="63"/>
      <c r="R191" s="63"/>
      <c r="S191" s="65"/>
      <c r="T191" s="65"/>
      <c r="U191" s="65"/>
      <c r="V191" s="65"/>
      <c r="W191" s="65"/>
      <c r="X191" s="63"/>
      <c r="Y191" s="63"/>
    </row>
    <row r="192" spans="9:25" hidden="1" x14ac:dyDescent="0.35">
      <c r="I192" s="63"/>
      <c r="J192" s="63"/>
      <c r="K192" s="64"/>
      <c r="L192" s="63"/>
      <c r="M192" s="63"/>
      <c r="N192" s="63"/>
      <c r="O192" s="63"/>
      <c r="P192" s="63"/>
      <c r="Q192" s="63"/>
      <c r="R192" s="63"/>
      <c r="S192" s="65"/>
      <c r="T192" s="65"/>
      <c r="U192" s="65"/>
      <c r="V192" s="65"/>
      <c r="W192" s="65"/>
      <c r="X192" s="63"/>
      <c r="Y192" s="63"/>
    </row>
    <row r="193" spans="9:25" hidden="1" x14ac:dyDescent="0.35">
      <c r="I193" s="63"/>
      <c r="J193" s="63"/>
      <c r="K193" s="64"/>
      <c r="L193" s="63"/>
      <c r="M193" s="63"/>
      <c r="N193" s="63"/>
      <c r="O193" s="63"/>
      <c r="P193" s="63"/>
      <c r="Q193" s="63"/>
      <c r="R193" s="63"/>
      <c r="S193" s="65"/>
      <c r="T193" s="65"/>
      <c r="U193" s="65"/>
      <c r="V193" s="65"/>
      <c r="W193" s="65"/>
      <c r="X193" s="63"/>
      <c r="Y193" s="63"/>
    </row>
    <row r="194" spans="9:25" hidden="1" x14ac:dyDescent="0.35">
      <c r="I194" s="63"/>
      <c r="J194" s="63"/>
      <c r="K194" s="64"/>
      <c r="L194" s="63"/>
      <c r="M194" s="63"/>
      <c r="N194" s="63"/>
      <c r="O194" s="63"/>
      <c r="P194" s="63"/>
      <c r="Q194" s="63"/>
      <c r="R194" s="63"/>
      <c r="S194" s="65"/>
      <c r="T194" s="65"/>
      <c r="U194" s="65"/>
      <c r="V194" s="65"/>
      <c r="W194" s="65"/>
      <c r="X194" s="63"/>
      <c r="Y194" s="63"/>
    </row>
    <row r="195" spans="9:25" hidden="1" x14ac:dyDescent="0.35">
      <c r="I195" s="63"/>
      <c r="J195" s="63"/>
      <c r="K195" s="64"/>
      <c r="L195" s="63"/>
      <c r="M195" s="63"/>
      <c r="N195" s="63"/>
      <c r="O195" s="63"/>
      <c r="P195" s="63"/>
      <c r="Q195" s="63"/>
      <c r="R195" s="63"/>
      <c r="S195" s="65"/>
      <c r="T195" s="65"/>
      <c r="U195" s="65"/>
      <c r="V195" s="65"/>
      <c r="W195" s="65"/>
      <c r="X195" s="63"/>
      <c r="Y195" s="63"/>
    </row>
    <row r="196" spans="9:25" hidden="1" x14ac:dyDescent="0.35">
      <c r="I196" s="63"/>
      <c r="J196" s="63"/>
      <c r="K196" s="64"/>
      <c r="L196" s="63"/>
      <c r="M196" s="63"/>
      <c r="N196" s="63"/>
      <c r="O196" s="63"/>
      <c r="P196" s="63"/>
      <c r="Q196" s="63"/>
      <c r="R196" s="63"/>
      <c r="S196" s="65"/>
      <c r="T196" s="65"/>
      <c r="U196" s="65"/>
      <c r="V196" s="65"/>
      <c r="W196" s="65"/>
      <c r="X196" s="63"/>
      <c r="Y196" s="63"/>
    </row>
    <row r="197" spans="9:25" hidden="1" x14ac:dyDescent="0.35">
      <c r="I197" s="63"/>
      <c r="J197" s="63"/>
      <c r="K197" s="64"/>
      <c r="L197" s="63"/>
      <c r="M197" s="63"/>
      <c r="N197" s="63"/>
      <c r="O197" s="63"/>
      <c r="P197" s="63"/>
      <c r="Q197" s="63"/>
      <c r="R197" s="63"/>
      <c r="S197" s="65"/>
      <c r="T197" s="65"/>
      <c r="U197" s="65"/>
      <c r="V197" s="65"/>
      <c r="W197" s="65"/>
      <c r="X197" s="63"/>
      <c r="Y197" s="63"/>
    </row>
    <row r="198" spans="9:25" hidden="1" x14ac:dyDescent="0.35">
      <c r="I198" s="63"/>
      <c r="J198" s="63"/>
      <c r="K198" s="64"/>
      <c r="L198" s="63"/>
      <c r="M198" s="63"/>
      <c r="N198" s="63"/>
      <c r="O198" s="63"/>
      <c r="P198" s="63"/>
      <c r="Q198" s="63"/>
      <c r="R198" s="63"/>
      <c r="S198" s="65"/>
      <c r="T198" s="65"/>
      <c r="U198" s="65"/>
      <c r="V198" s="65"/>
      <c r="W198" s="65"/>
      <c r="X198" s="63"/>
      <c r="Y198" s="63"/>
    </row>
    <row r="199" spans="9:25" hidden="1" x14ac:dyDescent="0.35">
      <c r="I199" s="63"/>
      <c r="J199" s="63"/>
      <c r="K199" s="64"/>
      <c r="L199" s="63"/>
      <c r="M199" s="63"/>
      <c r="N199" s="63"/>
      <c r="O199" s="63"/>
      <c r="P199" s="63"/>
      <c r="Q199" s="63"/>
      <c r="R199" s="63"/>
      <c r="S199" s="65"/>
      <c r="T199" s="65"/>
      <c r="U199" s="65"/>
      <c r="V199" s="65"/>
      <c r="W199" s="65"/>
      <c r="X199" s="63"/>
      <c r="Y199" s="63"/>
    </row>
    <row r="200" spans="9:25" hidden="1" x14ac:dyDescent="0.35">
      <c r="I200" s="63"/>
      <c r="J200" s="63"/>
      <c r="K200" s="64"/>
      <c r="L200" s="63"/>
      <c r="M200" s="63"/>
      <c r="N200" s="63"/>
      <c r="O200" s="63"/>
      <c r="P200" s="63"/>
      <c r="Q200" s="63"/>
      <c r="R200" s="63"/>
      <c r="S200" s="65"/>
      <c r="T200" s="65"/>
      <c r="U200" s="65"/>
      <c r="V200" s="65"/>
      <c r="W200" s="65"/>
      <c r="X200" s="63"/>
      <c r="Y200" s="63"/>
    </row>
    <row r="201" spans="9:25" hidden="1" x14ac:dyDescent="0.35">
      <c r="I201" s="63"/>
      <c r="J201" s="63"/>
      <c r="K201" s="64"/>
      <c r="L201" s="63"/>
      <c r="M201" s="63"/>
      <c r="N201" s="63"/>
      <c r="O201" s="63"/>
      <c r="P201" s="63"/>
      <c r="Q201" s="63"/>
      <c r="R201" s="63"/>
      <c r="S201" s="65"/>
      <c r="T201" s="65"/>
      <c r="U201" s="65"/>
      <c r="V201" s="65"/>
      <c r="W201" s="65"/>
      <c r="X201" s="63"/>
      <c r="Y201" s="63"/>
    </row>
    <row r="202" spans="9:25" hidden="1" x14ac:dyDescent="0.35">
      <c r="I202" s="63"/>
      <c r="J202" s="63"/>
      <c r="K202" s="64"/>
      <c r="L202" s="63"/>
      <c r="M202" s="63"/>
      <c r="N202" s="63"/>
      <c r="O202" s="63"/>
      <c r="P202" s="63"/>
      <c r="Q202" s="63"/>
      <c r="R202" s="63"/>
      <c r="S202" s="65"/>
      <c r="T202" s="65"/>
      <c r="U202" s="65"/>
      <c r="V202" s="65"/>
      <c r="W202" s="65"/>
      <c r="X202" s="63"/>
      <c r="Y202" s="63"/>
    </row>
    <row r="203" spans="9:25" hidden="1" x14ac:dyDescent="0.35">
      <c r="I203" s="63"/>
      <c r="J203" s="63"/>
      <c r="K203" s="64"/>
      <c r="L203" s="63"/>
      <c r="M203" s="63"/>
      <c r="N203" s="63"/>
      <c r="O203" s="63"/>
      <c r="P203" s="63"/>
      <c r="Q203" s="63"/>
      <c r="R203" s="63"/>
      <c r="S203" s="65"/>
      <c r="T203" s="65"/>
      <c r="U203" s="65"/>
      <c r="V203" s="65"/>
      <c r="W203" s="65"/>
      <c r="X203" s="63"/>
      <c r="Y203" s="63"/>
    </row>
    <row r="204" spans="9:25" hidden="1" x14ac:dyDescent="0.35">
      <c r="I204" s="63"/>
      <c r="J204" s="63"/>
      <c r="K204" s="64"/>
      <c r="L204" s="63"/>
      <c r="M204" s="63"/>
      <c r="N204" s="63"/>
      <c r="O204" s="63"/>
      <c r="P204" s="63"/>
      <c r="Q204" s="63"/>
      <c r="R204" s="63"/>
      <c r="S204" s="65"/>
      <c r="T204" s="65"/>
      <c r="U204" s="65"/>
      <c r="V204" s="65"/>
      <c r="W204" s="65"/>
      <c r="X204" s="63"/>
      <c r="Y204" s="63"/>
    </row>
    <row r="205" spans="9:25" hidden="1" x14ac:dyDescent="0.35">
      <c r="I205" s="63"/>
      <c r="J205" s="63"/>
      <c r="K205" s="64"/>
      <c r="L205" s="63"/>
      <c r="M205" s="63"/>
      <c r="N205" s="63"/>
      <c r="O205" s="63"/>
      <c r="P205" s="63"/>
      <c r="Q205" s="63"/>
      <c r="R205" s="63"/>
      <c r="S205" s="65"/>
      <c r="T205" s="65"/>
      <c r="U205" s="65"/>
      <c r="V205" s="65"/>
      <c r="W205" s="65"/>
      <c r="X205" s="63"/>
      <c r="Y205" s="63"/>
    </row>
    <row r="206" spans="9:25" hidden="1" x14ac:dyDescent="0.35">
      <c r="I206" s="63"/>
      <c r="J206" s="63"/>
      <c r="K206" s="64"/>
      <c r="L206" s="63"/>
      <c r="M206" s="63"/>
      <c r="N206" s="63"/>
      <c r="O206" s="63"/>
      <c r="P206" s="63"/>
      <c r="Q206" s="63"/>
      <c r="R206" s="63"/>
      <c r="S206" s="65"/>
      <c r="T206" s="65"/>
      <c r="U206" s="65"/>
      <c r="V206" s="65"/>
      <c r="W206" s="65"/>
      <c r="X206" s="63"/>
      <c r="Y206" s="63"/>
    </row>
    <row r="207" spans="9:25" hidden="1" x14ac:dyDescent="0.35">
      <c r="I207" s="63"/>
      <c r="J207" s="63"/>
      <c r="K207" s="64"/>
      <c r="L207" s="63"/>
      <c r="M207" s="63"/>
      <c r="N207" s="63"/>
      <c r="O207" s="63"/>
      <c r="P207" s="63"/>
      <c r="Q207" s="63"/>
      <c r="R207" s="63"/>
      <c r="S207" s="65"/>
      <c r="T207" s="65"/>
      <c r="U207" s="65"/>
      <c r="V207" s="65"/>
      <c r="W207" s="65"/>
      <c r="X207" s="63"/>
      <c r="Y207" s="63"/>
    </row>
    <row r="208" spans="9:25" hidden="1" x14ac:dyDescent="0.35">
      <c r="I208" s="63"/>
      <c r="J208" s="63"/>
      <c r="K208" s="64"/>
      <c r="L208" s="63"/>
      <c r="M208" s="63"/>
      <c r="N208" s="63"/>
      <c r="O208" s="63"/>
      <c r="P208" s="63"/>
      <c r="Q208" s="63"/>
      <c r="R208" s="63"/>
      <c r="S208" s="65"/>
      <c r="T208" s="65"/>
      <c r="U208" s="65"/>
      <c r="V208" s="65"/>
      <c r="W208" s="65"/>
      <c r="X208" s="63"/>
      <c r="Y208" s="63"/>
    </row>
    <row r="209" spans="9:25" hidden="1" x14ac:dyDescent="0.35">
      <c r="I209" s="63"/>
      <c r="J209" s="63"/>
      <c r="K209" s="64"/>
      <c r="L209" s="63"/>
      <c r="M209" s="63"/>
      <c r="N209" s="63"/>
      <c r="O209" s="63"/>
      <c r="P209" s="63"/>
      <c r="Q209" s="63"/>
      <c r="R209" s="63"/>
      <c r="S209" s="65"/>
      <c r="T209" s="65"/>
      <c r="U209" s="65"/>
      <c r="V209" s="65"/>
      <c r="W209" s="65"/>
      <c r="X209" s="63"/>
      <c r="Y209" s="63"/>
    </row>
    <row r="210" spans="9:25" hidden="1" x14ac:dyDescent="0.35">
      <c r="I210" s="63"/>
      <c r="J210" s="63"/>
      <c r="K210" s="64"/>
      <c r="L210" s="63"/>
      <c r="M210" s="63"/>
      <c r="N210" s="63"/>
      <c r="O210" s="63"/>
      <c r="P210" s="63"/>
      <c r="Q210" s="63"/>
      <c r="R210" s="63"/>
      <c r="S210" s="65"/>
      <c r="T210" s="65"/>
      <c r="U210" s="65"/>
      <c r="V210" s="65"/>
      <c r="W210" s="65"/>
      <c r="X210" s="63"/>
      <c r="Y210" s="63"/>
    </row>
    <row r="211" spans="9:25" hidden="1" x14ac:dyDescent="0.35">
      <c r="I211" s="63"/>
      <c r="J211" s="63"/>
      <c r="K211" s="64"/>
      <c r="L211" s="63"/>
      <c r="M211" s="63"/>
      <c r="N211" s="63"/>
      <c r="O211" s="63"/>
      <c r="P211" s="63"/>
      <c r="Q211" s="63"/>
      <c r="R211" s="63"/>
      <c r="S211" s="65"/>
      <c r="T211" s="65"/>
      <c r="U211" s="65"/>
      <c r="V211" s="65"/>
      <c r="W211" s="65"/>
      <c r="X211" s="63"/>
      <c r="Y211" s="63"/>
    </row>
    <row r="212" spans="9:25" hidden="1" x14ac:dyDescent="0.35">
      <c r="I212" s="63"/>
      <c r="J212" s="63"/>
      <c r="K212" s="64"/>
      <c r="L212" s="63"/>
      <c r="M212" s="63"/>
      <c r="N212" s="63"/>
      <c r="O212" s="63"/>
      <c r="P212" s="63"/>
      <c r="Q212" s="63"/>
      <c r="R212" s="63"/>
      <c r="S212" s="65"/>
      <c r="T212" s="65"/>
      <c r="U212" s="65"/>
      <c r="V212" s="65"/>
      <c r="W212" s="65"/>
      <c r="X212" s="63"/>
      <c r="Y212" s="63"/>
    </row>
    <row r="213" spans="9:25" hidden="1" x14ac:dyDescent="0.35">
      <c r="I213" s="63"/>
      <c r="J213" s="63"/>
      <c r="K213" s="64"/>
      <c r="L213" s="63"/>
      <c r="M213" s="63"/>
      <c r="N213" s="63"/>
      <c r="O213" s="63"/>
      <c r="P213" s="63"/>
      <c r="Q213" s="63"/>
      <c r="R213" s="63"/>
      <c r="S213" s="65"/>
      <c r="T213" s="65"/>
      <c r="U213" s="65"/>
      <c r="V213" s="65"/>
      <c r="W213" s="65"/>
      <c r="X213" s="63"/>
      <c r="Y213" s="63"/>
    </row>
    <row r="214" spans="9:25" hidden="1" x14ac:dyDescent="0.35">
      <c r="I214" s="63"/>
      <c r="J214" s="63"/>
      <c r="K214" s="64"/>
      <c r="L214" s="63"/>
      <c r="M214" s="63"/>
      <c r="N214" s="63"/>
      <c r="O214" s="63"/>
      <c r="P214" s="63"/>
      <c r="Q214" s="63"/>
      <c r="R214" s="63"/>
      <c r="S214" s="65"/>
      <c r="T214" s="65"/>
      <c r="U214" s="65"/>
      <c r="V214" s="65"/>
      <c r="W214" s="65"/>
      <c r="X214" s="63"/>
      <c r="Y214" s="63"/>
    </row>
    <row r="215" spans="9:25" hidden="1" x14ac:dyDescent="0.35">
      <c r="I215" s="63"/>
      <c r="J215" s="63"/>
      <c r="K215" s="64"/>
      <c r="L215" s="63"/>
      <c r="M215" s="63"/>
      <c r="N215" s="63"/>
      <c r="O215" s="63"/>
      <c r="P215" s="63"/>
      <c r="Q215" s="63"/>
      <c r="R215" s="63"/>
      <c r="S215" s="65"/>
      <c r="T215" s="65"/>
      <c r="U215" s="65"/>
      <c r="V215" s="65"/>
      <c r="W215" s="65"/>
      <c r="X215" s="63"/>
      <c r="Y215" s="63"/>
    </row>
    <row r="216" spans="9:25" hidden="1" x14ac:dyDescent="0.35">
      <c r="I216" s="63"/>
      <c r="J216" s="63"/>
      <c r="K216" s="64"/>
      <c r="L216" s="63"/>
      <c r="M216" s="63"/>
      <c r="N216" s="63"/>
      <c r="O216" s="63"/>
      <c r="P216" s="63"/>
      <c r="Q216" s="63"/>
      <c r="R216" s="63"/>
      <c r="S216" s="65"/>
      <c r="T216" s="65"/>
      <c r="U216" s="65"/>
      <c r="V216" s="65"/>
      <c r="W216" s="65"/>
      <c r="X216" s="63"/>
      <c r="Y216" s="63"/>
    </row>
    <row r="217" spans="9:25" hidden="1" x14ac:dyDescent="0.35">
      <c r="I217" s="63"/>
      <c r="J217" s="63"/>
      <c r="K217" s="64"/>
      <c r="L217" s="63"/>
      <c r="M217" s="63"/>
      <c r="N217" s="63"/>
      <c r="O217" s="63"/>
      <c r="P217" s="63"/>
      <c r="Q217" s="63"/>
      <c r="R217" s="63"/>
      <c r="S217" s="65"/>
      <c r="T217" s="65"/>
      <c r="U217" s="65"/>
      <c r="V217" s="65"/>
      <c r="W217" s="65"/>
      <c r="X217" s="63"/>
      <c r="Y217" s="63"/>
    </row>
    <row r="218" spans="9:25" hidden="1" x14ac:dyDescent="0.35">
      <c r="I218" s="63"/>
      <c r="J218" s="63"/>
      <c r="K218" s="64"/>
      <c r="L218" s="63"/>
      <c r="M218" s="63"/>
      <c r="N218" s="63"/>
      <c r="O218" s="63"/>
      <c r="P218" s="63"/>
      <c r="Q218" s="63"/>
      <c r="R218" s="63"/>
      <c r="S218" s="65"/>
      <c r="T218" s="65"/>
      <c r="U218" s="65"/>
      <c r="V218" s="65"/>
      <c r="W218" s="65"/>
      <c r="X218" s="63"/>
      <c r="Y218" s="63"/>
    </row>
    <row r="219" spans="9:25" hidden="1" x14ac:dyDescent="0.35">
      <c r="I219" s="63"/>
      <c r="J219" s="63"/>
      <c r="K219" s="64"/>
      <c r="L219" s="63"/>
      <c r="M219" s="63"/>
      <c r="N219" s="63"/>
      <c r="O219" s="63"/>
      <c r="P219" s="63"/>
      <c r="Q219" s="63"/>
      <c r="R219" s="63"/>
      <c r="S219" s="65"/>
      <c r="T219" s="65"/>
      <c r="U219" s="65"/>
      <c r="V219" s="65"/>
      <c r="W219" s="65"/>
      <c r="X219" s="63"/>
      <c r="Y219" s="63"/>
    </row>
    <row r="220" spans="9:25" hidden="1" x14ac:dyDescent="0.35">
      <c r="I220" s="63"/>
      <c r="J220" s="63"/>
      <c r="K220" s="64"/>
      <c r="L220" s="63"/>
      <c r="M220" s="63"/>
      <c r="N220" s="63"/>
      <c r="O220" s="63"/>
      <c r="P220" s="63"/>
      <c r="Q220" s="63"/>
      <c r="R220" s="63"/>
      <c r="S220" s="65"/>
      <c r="T220" s="65"/>
      <c r="U220" s="65"/>
      <c r="V220" s="65"/>
      <c r="W220" s="65"/>
      <c r="X220" s="63"/>
      <c r="Y220" s="63"/>
    </row>
    <row r="221" spans="9:25" hidden="1" x14ac:dyDescent="0.35">
      <c r="I221" s="63"/>
      <c r="J221" s="63"/>
      <c r="K221" s="64"/>
      <c r="L221" s="63"/>
      <c r="M221" s="63"/>
      <c r="N221" s="63"/>
      <c r="O221" s="63"/>
      <c r="P221" s="63"/>
      <c r="Q221" s="63"/>
      <c r="R221" s="63"/>
      <c r="S221" s="65"/>
      <c r="T221" s="65"/>
      <c r="U221" s="65"/>
      <c r="V221" s="65"/>
      <c r="W221" s="65"/>
      <c r="X221" s="63"/>
      <c r="Y221" s="63"/>
    </row>
    <row r="222" spans="9:25" hidden="1" x14ac:dyDescent="0.35">
      <c r="I222" s="63"/>
      <c r="J222" s="63"/>
      <c r="K222" s="64"/>
      <c r="L222" s="63"/>
      <c r="M222" s="63"/>
      <c r="N222" s="63"/>
      <c r="O222" s="63"/>
      <c r="P222" s="63"/>
      <c r="Q222" s="63"/>
      <c r="R222" s="63"/>
      <c r="S222" s="65"/>
      <c r="T222" s="65"/>
      <c r="U222" s="65"/>
      <c r="V222" s="65"/>
      <c r="W222" s="65"/>
      <c r="X222" s="63"/>
      <c r="Y222" s="63"/>
    </row>
    <row r="223" spans="9:25" hidden="1" x14ac:dyDescent="0.35">
      <c r="I223" s="63"/>
      <c r="J223" s="63"/>
      <c r="K223" s="64"/>
      <c r="L223" s="63"/>
      <c r="M223" s="63"/>
      <c r="N223" s="63"/>
      <c r="O223" s="63"/>
      <c r="P223" s="63"/>
      <c r="Q223" s="63"/>
      <c r="R223" s="63"/>
      <c r="S223" s="65"/>
      <c r="T223" s="65"/>
      <c r="U223" s="65"/>
      <c r="V223" s="65"/>
      <c r="W223" s="65"/>
      <c r="X223" s="63"/>
      <c r="Y223" s="63"/>
    </row>
    <row r="224" spans="9:25" hidden="1" x14ac:dyDescent="0.35">
      <c r="I224" s="63"/>
      <c r="J224" s="63"/>
      <c r="K224" s="64"/>
      <c r="L224" s="63"/>
      <c r="M224" s="63"/>
      <c r="N224" s="63"/>
      <c r="O224" s="63"/>
      <c r="P224" s="63"/>
      <c r="Q224" s="63"/>
      <c r="R224" s="63"/>
      <c r="S224" s="65"/>
      <c r="T224" s="65"/>
      <c r="U224" s="65"/>
      <c r="V224" s="65"/>
      <c r="W224" s="65"/>
      <c r="X224" s="63"/>
      <c r="Y224" s="63"/>
    </row>
    <row r="225" spans="1:25" hidden="1" x14ac:dyDescent="0.35">
      <c r="I225" s="63"/>
      <c r="J225" s="63"/>
      <c r="K225" s="64"/>
      <c r="L225" s="63"/>
      <c r="M225" s="63"/>
      <c r="N225" s="63"/>
      <c r="O225" s="63"/>
      <c r="P225" s="63"/>
      <c r="Q225" s="63"/>
      <c r="R225" s="63"/>
      <c r="S225" s="65"/>
      <c r="T225" s="65"/>
      <c r="U225" s="65"/>
      <c r="V225" s="65"/>
      <c r="W225" s="65"/>
      <c r="X225" s="63"/>
      <c r="Y225" s="63"/>
    </row>
    <row r="226" spans="1:25" hidden="1" x14ac:dyDescent="0.35">
      <c r="I226" s="63"/>
      <c r="J226" s="63"/>
      <c r="K226" s="64"/>
      <c r="L226" s="63"/>
      <c r="M226" s="63"/>
      <c r="N226" s="63"/>
      <c r="O226" s="63"/>
      <c r="P226" s="63"/>
      <c r="Q226" s="63"/>
      <c r="R226" s="63"/>
      <c r="S226" s="65"/>
      <c r="T226" s="65"/>
      <c r="U226" s="65"/>
      <c r="V226" s="65"/>
      <c r="W226" s="65"/>
      <c r="X226" s="63"/>
      <c r="Y226" s="63"/>
    </row>
    <row r="227" spans="1:25" hidden="1" x14ac:dyDescent="0.35">
      <c r="I227" s="63"/>
      <c r="J227" s="63"/>
      <c r="K227" s="64"/>
      <c r="L227" s="63"/>
      <c r="M227" s="63"/>
      <c r="N227" s="63"/>
      <c r="O227" s="63"/>
      <c r="P227" s="63"/>
      <c r="Q227" s="63"/>
      <c r="R227" s="63"/>
      <c r="S227" s="65"/>
      <c r="T227" s="65"/>
      <c r="U227" s="65"/>
      <c r="V227" s="65"/>
      <c r="W227" s="65"/>
      <c r="X227" s="63"/>
      <c r="Y227" s="63"/>
    </row>
    <row r="228" spans="1:25" hidden="1" x14ac:dyDescent="0.35">
      <c r="I228" s="63"/>
      <c r="J228" s="63"/>
      <c r="K228" s="64"/>
      <c r="L228" s="63"/>
      <c r="M228" s="63"/>
      <c r="N228" s="63"/>
      <c r="O228" s="63"/>
      <c r="P228" s="63"/>
      <c r="Q228" s="63"/>
      <c r="R228" s="63"/>
      <c r="S228" s="65"/>
      <c r="T228" s="65"/>
      <c r="U228" s="65"/>
      <c r="V228" s="65"/>
      <c r="W228" s="65"/>
      <c r="X228" s="63"/>
      <c r="Y228" s="63"/>
    </row>
    <row r="229" spans="1:25" hidden="1" x14ac:dyDescent="0.35">
      <c r="I229" s="63"/>
      <c r="J229" s="63"/>
      <c r="K229" s="64"/>
      <c r="L229" s="63"/>
      <c r="M229" s="63"/>
      <c r="N229" s="63"/>
      <c r="O229" s="63"/>
      <c r="P229" s="63"/>
      <c r="Q229" s="63"/>
      <c r="R229" s="63"/>
      <c r="S229" s="65"/>
      <c r="T229" s="65"/>
      <c r="U229" s="65"/>
      <c r="V229" s="65"/>
      <c r="W229" s="65"/>
      <c r="X229" s="63"/>
      <c r="Y229" s="63"/>
    </row>
    <row r="230" spans="1:25" hidden="1" x14ac:dyDescent="0.35">
      <c r="I230" s="63"/>
      <c r="J230" s="63"/>
      <c r="K230" s="64"/>
      <c r="L230" s="63"/>
      <c r="M230" s="63"/>
      <c r="N230" s="63"/>
      <c r="O230" s="63"/>
      <c r="P230" s="63"/>
      <c r="Q230" s="63"/>
      <c r="R230" s="63"/>
      <c r="S230" s="65"/>
      <c r="T230" s="65"/>
      <c r="U230" s="65"/>
      <c r="V230" s="65"/>
      <c r="W230" s="65"/>
      <c r="X230" s="63"/>
      <c r="Y230" s="63"/>
    </row>
    <row r="231" spans="1:25" hidden="1" x14ac:dyDescent="0.35">
      <c r="I231" s="63"/>
      <c r="J231" s="63"/>
      <c r="K231" s="64"/>
      <c r="L231" s="63"/>
      <c r="M231" s="63"/>
      <c r="N231" s="63"/>
      <c r="O231" s="63"/>
      <c r="P231" s="63"/>
      <c r="Q231" s="63"/>
      <c r="R231" s="63"/>
      <c r="S231" s="65"/>
      <c r="T231" s="65"/>
      <c r="U231" s="65"/>
      <c r="V231" s="65"/>
      <c r="W231" s="65"/>
      <c r="X231" s="63"/>
      <c r="Y231" s="63"/>
    </row>
    <row r="232" spans="1:25" hidden="1" x14ac:dyDescent="0.35">
      <c r="I232" s="63"/>
      <c r="J232" s="63"/>
      <c r="K232" s="64"/>
      <c r="L232" s="63"/>
      <c r="M232" s="63"/>
      <c r="N232" s="63"/>
      <c r="O232" s="63"/>
      <c r="P232" s="63"/>
      <c r="Q232" s="63"/>
      <c r="R232" s="63"/>
      <c r="S232" s="65"/>
      <c r="T232" s="65"/>
      <c r="U232" s="65"/>
      <c r="V232" s="65"/>
      <c r="W232" s="65"/>
      <c r="X232" s="63"/>
      <c r="Y232" s="63"/>
    </row>
    <row r="233" spans="1:25" hidden="1" x14ac:dyDescent="0.35">
      <c r="I233" s="63"/>
      <c r="J233" s="63"/>
      <c r="K233" s="64"/>
      <c r="L233" s="63"/>
      <c r="M233" s="63"/>
      <c r="N233" s="63"/>
      <c r="O233" s="63"/>
      <c r="P233" s="63"/>
      <c r="Q233" s="63"/>
      <c r="R233" s="63"/>
      <c r="S233" s="65"/>
      <c r="T233" s="65"/>
      <c r="U233" s="65"/>
      <c r="V233" s="65"/>
      <c r="W233" s="65"/>
      <c r="X233" s="63"/>
      <c r="Y233" s="63"/>
    </row>
    <row r="234" spans="1:25" x14ac:dyDescent="0.35">
      <c r="A234" s="62"/>
      <c r="B234" s="63"/>
      <c r="C234" s="63"/>
      <c r="D234" s="63"/>
      <c r="E234" s="63"/>
      <c r="F234" s="62"/>
      <c r="G234" s="63"/>
      <c r="H234" s="63"/>
      <c r="I234" s="63"/>
      <c r="J234" s="63"/>
      <c r="K234" s="64"/>
      <c r="L234" s="63"/>
      <c r="M234" s="63"/>
      <c r="N234" s="63"/>
      <c r="O234" s="63"/>
      <c r="P234" s="63"/>
      <c r="Q234" s="63"/>
      <c r="R234" s="63"/>
      <c r="S234" s="65"/>
      <c r="T234" s="65"/>
      <c r="U234" s="65"/>
      <c r="V234" s="65"/>
      <c r="W234" s="65"/>
      <c r="X234" s="63"/>
      <c r="Y234" s="63"/>
    </row>
    <row r="235" spans="1:25" x14ac:dyDescent="0.35">
      <c r="A235" s="62"/>
      <c r="B235" s="63"/>
      <c r="C235" s="63"/>
      <c r="D235" s="63"/>
      <c r="E235" s="63"/>
      <c r="F235" s="62"/>
      <c r="G235" s="63"/>
      <c r="H235" s="63"/>
      <c r="I235" s="63"/>
      <c r="J235" s="63"/>
      <c r="K235" s="64"/>
      <c r="L235" s="63"/>
      <c r="M235" s="63"/>
      <c r="N235" s="63"/>
      <c r="O235" s="63"/>
      <c r="P235" s="63"/>
      <c r="Q235" s="63"/>
      <c r="R235" s="63"/>
      <c r="S235" s="65"/>
      <c r="T235" s="65"/>
      <c r="U235" s="65"/>
      <c r="V235" s="65"/>
      <c r="W235" s="65"/>
      <c r="X235" s="63"/>
      <c r="Y235" s="63"/>
    </row>
  </sheetData>
  <mergeCells count="35">
    <mergeCell ref="K7:K8"/>
    <mergeCell ref="L7:O7"/>
    <mergeCell ref="A1:H1"/>
    <mergeCell ref="A2:H2"/>
    <mergeCell ref="B4:G5"/>
    <mergeCell ref="K4:O5"/>
    <mergeCell ref="K6:O6"/>
    <mergeCell ref="G49:G50"/>
    <mergeCell ref="K10:K20"/>
    <mergeCell ref="B16:B19"/>
    <mergeCell ref="B21:G22"/>
    <mergeCell ref="B23:B24"/>
    <mergeCell ref="C23:F24"/>
    <mergeCell ref="G23:G24"/>
    <mergeCell ref="K23:O23"/>
    <mergeCell ref="B33:B38"/>
    <mergeCell ref="B44:B45"/>
    <mergeCell ref="C44:F45"/>
    <mergeCell ref="B49:B50"/>
    <mergeCell ref="C49:F50"/>
    <mergeCell ref="G101:G102"/>
    <mergeCell ref="B59:B64"/>
    <mergeCell ref="B70:B71"/>
    <mergeCell ref="C70:F71"/>
    <mergeCell ref="B75:B76"/>
    <mergeCell ref="C75:F76"/>
    <mergeCell ref="G75:G76"/>
    <mergeCell ref="B111:B116"/>
    <mergeCell ref="B122:B123"/>
    <mergeCell ref="C122:F123"/>
    <mergeCell ref="B85:B90"/>
    <mergeCell ref="B96:B97"/>
    <mergeCell ref="C96:F97"/>
    <mergeCell ref="B101:B102"/>
    <mergeCell ref="C101:F102"/>
  </mergeCells>
  <conditionalFormatting sqref="C25">
    <cfRule type="duplicateValues" dxfId="6" priority="3"/>
  </conditionalFormatting>
  <conditionalFormatting sqref="O25:O28">
    <cfRule type="expression" dxfId="5" priority="1">
      <formula>N25&lt;M25</formula>
    </cfRule>
    <cfRule type="expression" dxfId="4" priority="2">
      <formula>N25&gt;M25</formula>
    </cfRule>
  </conditionalFormatting>
  <dataValidations count="8">
    <dataValidation type="list" allowBlank="1" showInputMessage="1" showErrorMessage="1" sqref="F26 F104 F78 F52" xr:uid="{E384CD1C-9A62-48D9-9872-F00B6FC910E4}">
      <formula1>$AH$11:$AH$15</formula1>
    </dataValidation>
    <dataValidation type="list" allowBlank="1" showInputMessage="1" showErrorMessage="1" sqref="D14" xr:uid="{7BCD02C5-5600-4A21-879B-E562EEC09A4E}">
      <formula1>$AK$11:$AK$13</formula1>
    </dataValidation>
    <dataValidation type="list" allowBlank="1" showInputMessage="1" showErrorMessage="1" sqref="D15" xr:uid="{7763B311-0DCA-4025-A36F-A5DF432D9316}">
      <formula1>$AL$11:$AL$12</formula1>
    </dataValidation>
    <dataValidation type="list" allowBlank="1" showInputMessage="1" showErrorMessage="1" sqref="C42 C120 C94 C68" xr:uid="{65524162-DAE9-4BA2-81CC-2E6F8F50D2E5}">
      <formula1>$AN$11:$AN$13</formula1>
    </dataValidation>
    <dataValidation type="list" allowBlank="1" showInputMessage="1" showErrorMessage="1" sqref="C29 C107 C81 C55" xr:uid="{2CA68E08-3454-47B3-B3BF-51FAFF883E89}">
      <formula1>$AM$11:$AM$12</formula1>
    </dataValidation>
    <dataValidation type="list" allowBlank="1" showInputMessage="1" showErrorMessage="1" sqref="C27 C105 C79 C53" xr:uid="{13BA6D1E-EB0C-4699-A3D3-7C0D6C9242C8}">
      <formula1>$AQ$11:$AQ$12</formula1>
    </dataValidation>
    <dataValidation type="list" allowBlank="1" showInputMessage="1" showErrorMessage="1" sqref="C30 C108 C82 C56" xr:uid="{B6702D69-73DF-4179-9979-F94B9A828CA4}">
      <formula1>$AS$11:$AS$13</formula1>
    </dataValidation>
    <dataValidation type="list" allowBlank="1" showInputMessage="1" showErrorMessage="1" sqref="C26 C52 C78 C104" xr:uid="{94C8D90C-4C9F-45C8-8F20-D1F7F0A6A8B1}">
      <formula1>CT_APPLICATION_tb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33687-0D7D-42B1-A3DF-6016786407EE}">
  <sheetPr codeName="Sheet6"/>
  <dimension ref="A1:AS235"/>
  <sheetViews>
    <sheetView zoomScale="85" zoomScaleNormal="85" workbookViewId="0">
      <selection activeCell="D9" sqref="D9"/>
    </sheetView>
  </sheetViews>
  <sheetFormatPr defaultRowHeight="13" x14ac:dyDescent="0.35"/>
  <cols>
    <col min="1" max="1" width="3.36328125" style="9" customWidth="1"/>
    <col min="2" max="2" width="24.6328125" style="1" bestFit="1" customWidth="1"/>
    <col min="3" max="3" width="9.7265625" style="1" bestFit="1" customWidth="1"/>
    <col min="4" max="4" width="17.36328125" style="1" bestFit="1" customWidth="1"/>
    <col min="5" max="5" width="11" style="1" bestFit="1" customWidth="1"/>
    <col min="6" max="6" width="9.26953125" style="9" bestFit="1" customWidth="1"/>
    <col min="7" max="7" width="7.453125" style="1" customWidth="1"/>
    <col min="8" max="8" width="3.1796875" style="1" customWidth="1"/>
    <col min="9" max="9" width="6.453125" style="1" customWidth="1"/>
    <col min="10" max="10" width="4.81640625" style="1" customWidth="1"/>
    <col min="11" max="11" width="22.54296875" style="40" customWidth="1"/>
    <col min="12" max="14" width="23.1796875" style="1" bestFit="1" customWidth="1"/>
    <col min="15" max="15" width="26.08984375" style="1" customWidth="1"/>
    <col min="16" max="16" width="4" style="1" customWidth="1"/>
    <col min="17" max="17" width="8.54296875" style="1" customWidth="1"/>
    <col min="18" max="18" width="16.1796875" style="1" bestFit="1" customWidth="1"/>
    <col min="19" max="19" width="17.1796875" style="2" customWidth="1"/>
    <col min="20" max="20" width="19.453125" style="2" customWidth="1"/>
    <col min="21" max="21" width="14.08984375" style="2" customWidth="1"/>
    <col min="22" max="23" width="3.1796875" style="2" bestFit="1" customWidth="1"/>
    <col min="24" max="25" width="3.1796875" style="1" bestFit="1" customWidth="1"/>
    <col min="26" max="26" width="10.36328125" style="1" customWidth="1"/>
    <col min="27" max="27" width="8.1796875" style="1" bestFit="1" customWidth="1"/>
    <col min="28" max="28" width="8.7265625" style="1"/>
    <col min="29" max="29" width="11.1796875" style="1" bestFit="1" customWidth="1"/>
    <col min="30" max="33" width="8.7265625" style="1"/>
    <col min="34" max="34" width="7.6328125" style="1" bestFit="1" customWidth="1"/>
    <col min="35" max="37" width="8.7265625" style="1"/>
    <col min="38" max="38" width="7.453125" style="1" bestFit="1" customWidth="1"/>
    <col min="39" max="39" width="7.36328125" style="1" bestFit="1" customWidth="1"/>
    <col min="40" max="40" width="7.90625" style="1" bestFit="1" customWidth="1"/>
    <col min="41" max="41" width="8.7265625" style="1"/>
    <col min="42" max="42" width="8.36328125" style="1" bestFit="1" customWidth="1"/>
    <col min="43" max="43" width="7.26953125" style="1" bestFit="1" customWidth="1"/>
    <col min="44" max="44" width="7.90625" style="1" bestFit="1" customWidth="1"/>
    <col min="45" max="45" width="7.81640625" style="1" bestFit="1" customWidth="1"/>
    <col min="46" max="46" width="8.7265625" style="1"/>
    <col min="47" max="47" width="8.26953125" style="1" bestFit="1" customWidth="1"/>
    <col min="48" max="48" width="8.7265625" style="1"/>
    <col min="49" max="49" width="7.81640625" style="1" bestFit="1" customWidth="1"/>
    <col min="50" max="16384" width="8.7265625" style="1"/>
  </cols>
  <sheetData>
    <row r="1" spans="1:45" x14ac:dyDescent="0.35">
      <c r="A1" s="222" t="s">
        <v>122</v>
      </c>
      <c r="B1" s="222"/>
      <c r="C1" s="222"/>
      <c r="D1" s="222"/>
      <c r="E1" s="222"/>
      <c r="F1" s="222"/>
      <c r="G1" s="222"/>
      <c r="H1" s="222"/>
      <c r="I1" s="63"/>
      <c r="J1" s="63"/>
      <c r="K1" s="64"/>
      <c r="L1" s="63"/>
      <c r="M1" s="63"/>
      <c r="N1" s="63"/>
      <c r="O1" s="63"/>
      <c r="P1" s="63"/>
      <c r="Q1" s="63"/>
      <c r="R1" s="63"/>
      <c r="S1" s="65"/>
      <c r="T1" s="65"/>
      <c r="U1" s="65"/>
      <c r="V1" s="65"/>
      <c r="W1" s="65"/>
      <c r="X1" s="63"/>
      <c r="Y1" s="63"/>
    </row>
    <row r="2" spans="1:45" ht="12.5" customHeight="1" x14ac:dyDescent="0.35">
      <c r="A2" s="222" t="s">
        <v>123</v>
      </c>
      <c r="B2" s="222"/>
      <c r="C2" s="222"/>
      <c r="D2" s="222"/>
      <c r="E2" s="222"/>
      <c r="F2" s="222"/>
      <c r="G2" s="222"/>
      <c r="H2" s="222"/>
      <c r="I2" s="63"/>
      <c r="J2" s="63"/>
      <c r="K2" s="64"/>
      <c r="L2" s="63"/>
      <c r="M2" s="63"/>
      <c r="N2" s="63"/>
      <c r="O2" s="63"/>
      <c r="P2" s="63"/>
      <c r="Q2" s="63"/>
      <c r="R2" s="63"/>
      <c r="S2" s="65"/>
      <c r="T2" s="65"/>
      <c r="U2" s="65"/>
      <c r="V2" s="65"/>
      <c r="W2" s="65"/>
      <c r="X2" s="63"/>
      <c r="Y2" s="63"/>
    </row>
    <row r="3" spans="1:45" x14ac:dyDescent="0.35">
      <c r="A3" s="62"/>
      <c r="B3" s="63"/>
      <c r="C3" s="63"/>
      <c r="D3" s="63"/>
      <c r="E3" s="63"/>
      <c r="F3" s="62"/>
      <c r="G3" s="63"/>
      <c r="H3" s="63"/>
      <c r="I3" s="63"/>
      <c r="J3" s="63"/>
      <c r="K3" s="64"/>
      <c r="L3" s="63"/>
      <c r="M3" s="63"/>
      <c r="N3" s="63"/>
      <c r="O3" s="63"/>
      <c r="P3" s="63"/>
      <c r="Q3" s="63"/>
      <c r="R3" s="63"/>
      <c r="S3" s="65"/>
      <c r="T3" s="65"/>
      <c r="U3" s="65"/>
      <c r="V3" s="65"/>
      <c r="W3" s="65"/>
      <c r="X3" s="63"/>
      <c r="Y3" s="63"/>
    </row>
    <row r="4" spans="1:45" x14ac:dyDescent="0.35">
      <c r="A4" s="102"/>
      <c r="B4" s="223" t="s">
        <v>83</v>
      </c>
      <c r="C4" s="223"/>
      <c r="D4" s="223"/>
      <c r="E4" s="223"/>
      <c r="F4" s="223"/>
      <c r="G4" s="223"/>
      <c r="H4" s="103"/>
      <c r="I4" s="63"/>
      <c r="J4" s="46"/>
      <c r="K4" s="224" t="s">
        <v>165</v>
      </c>
      <c r="L4" s="224"/>
      <c r="M4" s="224"/>
      <c r="N4" s="224"/>
      <c r="O4" s="224"/>
      <c r="P4" s="46"/>
      <c r="W4" s="63"/>
      <c r="X4" s="63"/>
      <c r="Y4" s="63"/>
    </row>
    <row r="5" spans="1:45" ht="13.5" thickBot="1" x14ac:dyDescent="0.4">
      <c r="A5" s="102"/>
      <c r="B5" s="223"/>
      <c r="C5" s="223"/>
      <c r="D5" s="223"/>
      <c r="E5" s="223"/>
      <c r="F5" s="223"/>
      <c r="G5" s="223"/>
      <c r="H5" s="103"/>
      <c r="I5" s="63"/>
      <c r="J5" s="46"/>
      <c r="K5" s="224"/>
      <c r="L5" s="224"/>
      <c r="M5" s="224"/>
      <c r="N5" s="224"/>
      <c r="O5" s="224"/>
      <c r="P5" s="46"/>
      <c r="W5" s="63"/>
      <c r="X5" s="63"/>
      <c r="Y5" s="63"/>
    </row>
    <row r="6" spans="1:45" ht="13.5" thickBot="1" x14ac:dyDescent="0.4">
      <c r="A6" s="102"/>
      <c r="B6" s="94"/>
      <c r="C6" s="95"/>
      <c r="D6" s="95"/>
      <c r="E6" s="95"/>
      <c r="F6" s="95"/>
      <c r="G6" s="96"/>
      <c r="H6" s="103"/>
      <c r="I6" s="63"/>
      <c r="J6" s="46"/>
      <c r="K6" s="225" t="s">
        <v>164</v>
      </c>
      <c r="L6" s="226"/>
      <c r="M6" s="226"/>
      <c r="N6" s="226"/>
      <c r="O6" s="227"/>
      <c r="P6" s="46"/>
      <c r="W6" s="63"/>
      <c r="X6" s="63"/>
      <c r="Y6" s="63"/>
    </row>
    <row r="7" spans="1:45" x14ac:dyDescent="0.35">
      <c r="A7" s="102"/>
      <c r="B7" s="97" t="s">
        <v>132</v>
      </c>
      <c r="C7" s="85"/>
      <c r="D7" s="18" t="str">
        <f>Input_Data_HV_CTs!D7</f>
        <v>N22154</v>
      </c>
      <c r="E7" s="85"/>
      <c r="F7" s="85"/>
      <c r="G7" s="88"/>
      <c r="H7" s="103"/>
      <c r="I7" s="63"/>
      <c r="J7" s="46"/>
      <c r="K7" s="230" t="s">
        <v>98</v>
      </c>
      <c r="L7" s="216" t="s">
        <v>107</v>
      </c>
      <c r="M7" s="217"/>
      <c r="N7" s="217"/>
      <c r="O7" s="218"/>
      <c r="P7" s="46"/>
      <c r="Y7" s="63"/>
    </row>
    <row r="8" spans="1:45" ht="13.5" thickBot="1" x14ac:dyDescent="0.4">
      <c r="A8" s="102"/>
      <c r="B8" s="97" t="s">
        <v>101</v>
      </c>
      <c r="C8" s="85"/>
      <c r="D8" s="17">
        <v>0</v>
      </c>
      <c r="E8" s="85"/>
      <c r="F8" s="85"/>
      <c r="G8" s="88"/>
      <c r="H8" s="103"/>
      <c r="I8" s="63"/>
      <c r="J8" s="46"/>
      <c r="K8" s="231"/>
      <c r="L8" s="49"/>
      <c r="M8" s="71"/>
      <c r="N8" s="71"/>
      <c r="O8" s="50"/>
      <c r="P8" s="46"/>
      <c r="Y8" s="63"/>
    </row>
    <row r="9" spans="1:45" ht="13.5" thickBot="1" x14ac:dyDescent="0.4">
      <c r="A9" s="102"/>
      <c r="B9" s="97" t="s">
        <v>142</v>
      </c>
      <c r="C9" s="85"/>
      <c r="D9" s="47">
        <f>Input_Data_HV_CTs!D9</f>
        <v>18700</v>
      </c>
      <c r="E9" s="85"/>
      <c r="F9" s="85"/>
      <c r="G9" s="86"/>
      <c r="H9" s="103"/>
      <c r="I9" s="63"/>
      <c r="J9" s="46"/>
      <c r="K9" s="60"/>
      <c r="L9" s="41" t="s">
        <v>155</v>
      </c>
      <c r="M9" s="42" t="s">
        <v>157</v>
      </c>
      <c r="N9" s="42" t="s">
        <v>159</v>
      </c>
      <c r="O9" s="45" t="s">
        <v>161</v>
      </c>
      <c r="P9" s="46"/>
    </row>
    <row r="10" spans="1:45" ht="26" x14ac:dyDescent="0.35">
      <c r="A10" s="102"/>
      <c r="B10" s="97" t="s">
        <v>31</v>
      </c>
      <c r="C10" s="85"/>
      <c r="D10" s="47">
        <f>Input_Data_HV_CTs!D10</f>
        <v>69000</v>
      </c>
      <c r="E10" s="85"/>
      <c r="F10" s="85"/>
      <c r="G10" s="86"/>
      <c r="H10" s="103"/>
      <c r="I10" s="63"/>
      <c r="J10" s="46"/>
      <c r="K10" s="239" t="s">
        <v>93</v>
      </c>
      <c r="L10" s="202" t="str" cm="1">
        <f t="array" ref="L10">_xlfn.LET(
  _xlpm.todos,
    _xlfn.VSTACK(
      C33:C38,
      C59:C64,
      C85:C90,
      C111:C116
    ),
  IFERROR(
    _xlfn._xlws.FILTER(_xlpm.todos, _xlpm.todos&lt;&gt;""),
    ""
  )
)</f>
        <v/>
      </c>
      <c r="M10" s="197" t="str" cm="1">
        <f t="array" ref="M10">_xlfn.LET(
  _xlpm.todos,
    _xlfn.VSTACK(
      D33:D38,
      D59:D64,
      D85:D90,
      D111:D116
    ),
  IFERROR(
    _xlfn._xlws.FILTER(_xlpm.todos, _xlpm.todos&lt;&gt;""),
    ""
  )
)</f>
        <v/>
      </c>
      <c r="N10" s="203" t="str" cm="1">
        <f t="array" ref="N10">_xlfn.LET(
  _xlpm.todos,
    _xlfn.VSTACK(
      E33:E38,
      E59:E64,
      E85:E90,
      E111:E116
    ),
  IFERROR(
    _xlfn._xlws.FILTER(_xlpm.todos, _xlpm.todos&lt;&gt;""),
    ""
  )
)</f>
        <v/>
      </c>
      <c r="O10" s="198" t="str" cm="1">
        <f t="array" ref="O10">_xlfn.LET(
  _xlpm.todos,
    _xlfn.VSTACK(
      F33:F38,
      F59:F64,
      F85:F90,
      F111:F116
    ),
  IFERROR(
    _xlfn._xlws.FILTER(_xlpm.todos, _xlpm.todos&lt;&gt;""),
    ""
  )
)</f>
        <v/>
      </c>
      <c r="P10" s="46"/>
      <c r="AH10" s="1" t="s">
        <v>78</v>
      </c>
      <c r="AK10" s="1" t="s">
        <v>36</v>
      </c>
      <c r="AL10" s="1" t="s">
        <v>23</v>
      </c>
      <c r="AM10" s="1" t="s">
        <v>24</v>
      </c>
      <c r="AN10" s="1" t="s">
        <v>27</v>
      </c>
      <c r="AO10" s="8" t="s">
        <v>11</v>
      </c>
      <c r="AQ10" s="8" t="s">
        <v>17</v>
      </c>
      <c r="AS10" s="8" t="s">
        <v>12</v>
      </c>
    </row>
    <row r="11" spans="1:45" ht="26" x14ac:dyDescent="0.35">
      <c r="A11" s="102"/>
      <c r="B11" s="97" t="s">
        <v>33</v>
      </c>
      <c r="C11" s="85"/>
      <c r="D11" s="15">
        <f>D9/(SQRT(3)*D10/1000)</f>
        <v>156.47029034559424</v>
      </c>
      <c r="E11" s="85"/>
      <c r="F11" s="85"/>
      <c r="G11" s="86"/>
      <c r="H11" s="103"/>
      <c r="I11" s="63"/>
      <c r="J11" s="46"/>
      <c r="K11" s="240"/>
      <c r="L11" s="199"/>
      <c r="M11" s="197"/>
      <c r="N11" s="200"/>
      <c r="O11" s="201"/>
      <c r="P11" s="46"/>
      <c r="AH11" s="1" t="s">
        <v>77</v>
      </c>
      <c r="AK11" s="1" t="s">
        <v>37</v>
      </c>
      <c r="AL11" s="1">
        <v>50</v>
      </c>
      <c r="AM11" s="1" t="s">
        <v>25</v>
      </c>
      <c r="AN11" s="1" t="s">
        <v>29</v>
      </c>
      <c r="AO11" s="7" t="s">
        <v>5</v>
      </c>
      <c r="AQ11" s="7" t="s">
        <v>19</v>
      </c>
      <c r="AS11" s="7" t="s">
        <v>13</v>
      </c>
    </row>
    <row r="12" spans="1:45" ht="26" x14ac:dyDescent="0.35">
      <c r="A12" s="102"/>
      <c r="B12" s="97" t="s">
        <v>32</v>
      </c>
      <c r="C12" s="85"/>
      <c r="D12" s="47">
        <f>Input_Data_HV_CTs!D12</f>
        <v>12470</v>
      </c>
      <c r="E12" s="85"/>
      <c r="F12" s="85"/>
      <c r="G12" s="86"/>
      <c r="H12" s="103"/>
      <c r="I12" s="63"/>
      <c r="J12" s="46"/>
      <c r="K12" s="240"/>
      <c r="L12" s="199"/>
      <c r="M12" s="200"/>
      <c r="N12" s="200"/>
      <c r="O12" s="201"/>
      <c r="P12" s="46"/>
      <c r="AH12" s="1" t="s">
        <v>80</v>
      </c>
      <c r="AK12" s="1" t="s">
        <v>38</v>
      </c>
      <c r="AL12" s="1">
        <v>60</v>
      </c>
      <c r="AM12" s="1" t="s">
        <v>26</v>
      </c>
      <c r="AN12" s="1" t="s">
        <v>28</v>
      </c>
      <c r="AO12" s="7" t="s">
        <v>4</v>
      </c>
      <c r="AQ12" s="7" t="s">
        <v>18</v>
      </c>
      <c r="AS12" s="7" t="s">
        <v>14</v>
      </c>
    </row>
    <row r="13" spans="1:45" ht="39" x14ac:dyDescent="0.35">
      <c r="A13" s="102"/>
      <c r="B13" s="97" t="s">
        <v>34</v>
      </c>
      <c r="C13" s="85"/>
      <c r="D13" s="15">
        <f>D9/(SQRT(3)*D12/1000)</f>
        <v>865.79390808708911</v>
      </c>
      <c r="E13" s="85"/>
      <c r="F13" s="85"/>
      <c r="G13" s="86"/>
      <c r="H13" s="103"/>
      <c r="I13" s="63"/>
      <c r="J13" s="46"/>
      <c r="K13" s="240"/>
      <c r="L13" s="199"/>
      <c r="M13" s="200"/>
      <c r="N13" s="200"/>
      <c r="O13" s="201"/>
      <c r="P13" s="46"/>
      <c r="AH13" s="1" t="s">
        <v>76</v>
      </c>
      <c r="AK13" s="1" t="s">
        <v>39</v>
      </c>
      <c r="AN13" s="1" t="s">
        <v>30</v>
      </c>
      <c r="AO13" s="7" t="s">
        <v>16</v>
      </c>
      <c r="AS13" s="7" t="s">
        <v>15</v>
      </c>
    </row>
    <row r="14" spans="1:45" x14ac:dyDescent="0.35">
      <c r="A14" s="102"/>
      <c r="B14" s="97" t="s">
        <v>1</v>
      </c>
      <c r="C14" s="85"/>
      <c r="D14" s="16" t="str">
        <f>Input_Data_HV_CTs!D14</f>
        <v>ONAN/ONAF/ONAF</v>
      </c>
      <c r="E14" s="85"/>
      <c r="F14" s="85"/>
      <c r="G14" s="86"/>
      <c r="H14" s="103"/>
      <c r="I14" s="63"/>
      <c r="J14" s="46"/>
      <c r="K14" s="240"/>
      <c r="L14" s="199"/>
      <c r="M14" s="200"/>
      <c r="N14" s="200"/>
      <c r="O14" s="201"/>
      <c r="P14" s="46"/>
      <c r="AH14" s="1" t="s">
        <v>79</v>
      </c>
    </row>
    <row r="15" spans="1:45" x14ac:dyDescent="0.35">
      <c r="A15" s="102"/>
      <c r="B15" s="97" t="s">
        <v>23</v>
      </c>
      <c r="C15" s="85"/>
      <c r="D15" s="18">
        <f>Input_Data_HV_CTs!D15</f>
        <v>60</v>
      </c>
      <c r="E15" s="85"/>
      <c r="F15" s="85"/>
      <c r="G15" s="86"/>
      <c r="H15" s="103"/>
      <c r="I15" s="63"/>
      <c r="J15" s="46"/>
      <c r="K15" s="240"/>
      <c r="L15" s="199"/>
      <c r="M15" s="200"/>
      <c r="N15" s="200"/>
      <c r="O15" s="201"/>
      <c r="P15" s="46"/>
    </row>
    <row r="16" spans="1:45" x14ac:dyDescent="0.35">
      <c r="A16" s="102"/>
      <c r="B16" s="213" t="s">
        <v>99</v>
      </c>
      <c r="C16" s="10" t="s">
        <v>88</v>
      </c>
      <c r="D16" s="12">
        <v>21.655999999999999</v>
      </c>
      <c r="E16" s="85" t="s">
        <v>95</v>
      </c>
      <c r="F16" s="85"/>
      <c r="G16" s="86"/>
      <c r="H16" s="103"/>
      <c r="I16" s="63"/>
      <c r="J16" s="46"/>
      <c r="K16" s="240"/>
      <c r="L16" s="199"/>
      <c r="M16" s="200"/>
      <c r="N16" s="200"/>
      <c r="O16" s="201"/>
      <c r="P16" s="46"/>
    </row>
    <row r="17" spans="1:21" x14ac:dyDescent="0.35">
      <c r="A17" s="102"/>
      <c r="B17" s="213"/>
      <c r="C17" s="10" t="s">
        <v>155</v>
      </c>
      <c r="D17" s="12">
        <v>0</v>
      </c>
      <c r="E17" s="85" t="s">
        <v>95</v>
      </c>
      <c r="F17" s="85"/>
      <c r="G17" s="88"/>
      <c r="H17" s="103"/>
      <c r="I17" s="63"/>
      <c r="J17" s="46"/>
      <c r="K17" s="240"/>
      <c r="L17" s="194"/>
      <c r="M17" s="47"/>
      <c r="N17" s="47"/>
      <c r="O17" s="74"/>
      <c r="P17" s="46"/>
    </row>
    <row r="18" spans="1:21" x14ac:dyDescent="0.35">
      <c r="A18" s="102"/>
      <c r="B18" s="213"/>
      <c r="C18" s="11"/>
      <c r="D18" s="13"/>
      <c r="E18" s="85" t="s">
        <v>95</v>
      </c>
      <c r="F18" s="85"/>
      <c r="G18" s="86"/>
      <c r="H18" s="103"/>
      <c r="I18" s="63"/>
      <c r="J18" s="46"/>
      <c r="K18" s="240"/>
      <c r="L18" s="194"/>
      <c r="M18" s="47"/>
      <c r="N18" s="47"/>
      <c r="O18" s="74"/>
      <c r="P18" s="46"/>
    </row>
    <row r="19" spans="1:21" x14ac:dyDescent="0.35">
      <c r="A19" s="102"/>
      <c r="B19" s="213"/>
      <c r="C19" s="10"/>
      <c r="D19" s="12"/>
      <c r="E19" s="85" t="s">
        <v>95</v>
      </c>
      <c r="F19" s="85"/>
      <c r="G19" s="86"/>
      <c r="H19" s="103"/>
      <c r="I19" s="63"/>
      <c r="J19" s="46"/>
      <c r="K19" s="240"/>
      <c r="L19" s="194"/>
      <c r="M19" s="47"/>
      <c r="N19" s="47"/>
      <c r="O19" s="74"/>
      <c r="P19" s="46"/>
    </row>
    <row r="20" spans="1:21" ht="13.5" thickBot="1" x14ac:dyDescent="0.4">
      <c r="A20" s="102"/>
      <c r="B20" s="91"/>
      <c r="C20" s="92"/>
      <c r="D20" s="92"/>
      <c r="E20" s="92"/>
      <c r="F20" s="92"/>
      <c r="G20" s="93"/>
      <c r="H20" s="103"/>
      <c r="I20" s="63"/>
      <c r="J20" s="46"/>
      <c r="K20" s="240"/>
      <c r="L20" s="195"/>
      <c r="M20" s="68"/>
      <c r="N20" s="68"/>
      <c r="O20" s="83"/>
      <c r="P20" s="46"/>
    </row>
    <row r="21" spans="1:21" x14ac:dyDescent="0.35">
      <c r="A21" s="102"/>
      <c r="B21" s="223" t="s">
        <v>163</v>
      </c>
      <c r="C21" s="223"/>
      <c r="D21" s="223"/>
      <c r="E21" s="223"/>
      <c r="F21" s="223"/>
      <c r="G21" s="223"/>
      <c r="H21" s="103"/>
      <c r="I21" s="63"/>
      <c r="J21" s="46"/>
      <c r="K21" s="60"/>
      <c r="L21" s="76"/>
      <c r="M21" s="76"/>
      <c r="N21" s="76"/>
      <c r="O21" s="52"/>
      <c r="P21" s="46"/>
    </row>
    <row r="22" spans="1:21" ht="13.5" thickBot="1" x14ac:dyDescent="0.4">
      <c r="A22" s="102"/>
      <c r="B22" s="223"/>
      <c r="C22" s="223"/>
      <c r="D22" s="223"/>
      <c r="E22" s="223"/>
      <c r="F22" s="223"/>
      <c r="G22" s="223"/>
      <c r="H22" s="103"/>
      <c r="I22" s="63"/>
      <c r="J22" s="46"/>
      <c r="K22" s="77"/>
      <c r="L22" s="78"/>
      <c r="M22" s="78"/>
      <c r="N22" s="78"/>
      <c r="O22" s="79"/>
      <c r="P22" s="46"/>
    </row>
    <row r="23" spans="1:21" hidden="1" x14ac:dyDescent="0.35">
      <c r="A23" s="102"/>
      <c r="B23" s="235" t="s">
        <v>0</v>
      </c>
      <c r="C23" s="214" t="s">
        <v>141</v>
      </c>
      <c r="D23" s="214"/>
      <c r="E23" s="214"/>
      <c r="F23" s="214"/>
      <c r="G23" s="237">
        <v>1</v>
      </c>
      <c r="H23" s="103"/>
      <c r="I23" s="63"/>
      <c r="J23" s="46"/>
      <c r="K23" s="219" t="s">
        <v>124</v>
      </c>
      <c r="L23" s="220"/>
      <c r="M23" s="220"/>
      <c r="N23" s="220"/>
      <c r="O23" s="221"/>
      <c r="P23" s="61"/>
    </row>
    <row r="24" spans="1:21" hidden="1" x14ac:dyDescent="0.35">
      <c r="A24" s="102"/>
      <c r="B24" s="236"/>
      <c r="C24" s="215"/>
      <c r="D24" s="215"/>
      <c r="E24" s="215"/>
      <c r="F24" s="215"/>
      <c r="G24" s="238"/>
      <c r="H24" s="103"/>
      <c r="I24" s="63"/>
      <c r="J24" s="46"/>
      <c r="K24" s="60"/>
      <c r="L24" s="99" t="s">
        <v>111</v>
      </c>
      <c r="M24" s="99" t="s">
        <v>110</v>
      </c>
      <c r="N24" s="100" t="s">
        <v>109</v>
      </c>
      <c r="O24" s="101" t="s">
        <v>116</v>
      </c>
      <c r="P24" s="46"/>
    </row>
    <row r="25" spans="1:21" hidden="1" x14ac:dyDescent="0.35">
      <c r="A25" s="102"/>
      <c r="B25" s="84" t="s">
        <v>82</v>
      </c>
      <c r="C25" s="24" t="s">
        <v>166</v>
      </c>
      <c r="D25" s="85"/>
      <c r="E25" s="85"/>
      <c r="F25" s="85"/>
      <c r="G25" s="86"/>
      <c r="H25" s="103"/>
      <c r="I25" s="63"/>
      <c r="J25" s="46"/>
      <c r="K25" s="60"/>
      <c r="L25" s="18" t="s">
        <v>156</v>
      </c>
      <c r="M25" s="18">
        <f>(C32*$C$39)+(C32+1)*(1/8)   +   (C58*$C$65)+(C58)*(1/8)   +   (C84*$C$91)+(C84)*(1/8)    +     (C110*$C$117)+(C110+1)*(1/8)</f>
        <v>0.25</v>
      </c>
      <c r="N25" s="67">
        <f>D17</f>
        <v>0</v>
      </c>
      <c r="O25" s="37" t="str">
        <f>IF(N25&gt;M25, "All CTs Fit", IF(M25=0,"-","ERROR CTs don't fit"))</f>
        <v>ERROR CTs don't fit</v>
      </c>
      <c r="P25" s="46"/>
      <c r="S25" s="1"/>
      <c r="T25" s="1"/>
      <c r="U25" s="1"/>
    </row>
    <row r="26" spans="1:21" hidden="1" x14ac:dyDescent="0.35">
      <c r="A26" s="102"/>
      <c r="B26" s="84" t="s">
        <v>9</v>
      </c>
      <c r="C26" s="16" t="s">
        <v>16</v>
      </c>
      <c r="D26" s="85"/>
      <c r="E26" s="85" t="str">
        <f>IF(OR(C26="WTI", C26="LDC"),"CT Accuracy", "")</f>
        <v/>
      </c>
      <c r="F26" s="14" t="s">
        <v>77</v>
      </c>
      <c r="G26" s="86"/>
      <c r="H26" s="103"/>
      <c r="I26" s="63"/>
      <c r="J26" s="46"/>
      <c r="K26" s="60"/>
      <c r="L26" s="18" t="s">
        <v>158</v>
      </c>
      <c r="M26" s="18">
        <f>(D32*$C$39)+(D32+1)*(1/8)   +   (D58*$C$65)+(D58)*(1/8)   +   (D84*$C$91)+(D84)*(1/8)    +     (D110*$C$117)+(D110+1)*(1/8)</f>
        <v>0.25</v>
      </c>
      <c r="N26" s="67">
        <f>D16</f>
        <v>21.655999999999999</v>
      </c>
      <c r="O26" s="37" t="str">
        <f>IF(N26&gt;M26, "All CTs Fit", "ERROR CTs don't fit")</f>
        <v>All CTs Fit</v>
      </c>
      <c r="P26" s="46"/>
    </row>
    <row r="27" spans="1:21" hidden="1" x14ac:dyDescent="0.35">
      <c r="A27" s="102"/>
      <c r="B27" s="84" t="s">
        <v>10</v>
      </c>
      <c r="C27" s="16" t="s">
        <v>18</v>
      </c>
      <c r="D27" s="85"/>
      <c r="E27" s="85"/>
      <c r="F27" s="85"/>
      <c r="G27" s="86"/>
      <c r="H27" s="103"/>
      <c r="I27" s="63"/>
      <c r="J27" s="46"/>
      <c r="K27" s="60"/>
      <c r="L27" s="18" t="s">
        <v>160</v>
      </c>
      <c r="M27" s="18">
        <f>(E32*$C$39)+(E32+1)*(1/8)   +   (E58*$C$65)+(E58)*(1/8)   +   (E84*$C$91)+(E84)*(1/8)    +     (E110*$C$117)+(E110+1)*(1/8)</f>
        <v>0.25</v>
      </c>
      <c r="N27" s="67">
        <f>D16</f>
        <v>21.655999999999999</v>
      </c>
      <c r="O27" s="37" t="str">
        <f t="shared" ref="O27:O28" si="0">IF(N27&gt;M27, "All CTs Fit", "ERROR CTs don't fit")</f>
        <v>All CTs Fit</v>
      </c>
      <c r="P27" s="46"/>
    </row>
    <row r="28" spans="1:21" ht="13.5" hidden="1" thickBot="1" x14ac:dyDescent="0.4">
      <c r="A28" s="102"/>
      <c r="B28" s="84" t="s">
        <v>90</v>
      </c>
      <c r="C28" s="17">
        <v>4</v>
      </c>
      <c r="D28" s="85"/>
      <c r="E28" s="85"/>
      <c r="F28" s="85"/>
      <c r="G28" s="86"/>
      <c r="H28" s="103"/>
      <c r="I28" s="63"/>
      <c r="J28" s="46"/>
      <c r="K28" s="69"/>
      <c r="L28" s="38" t="s">
        <v>162</v>
      </c>
      <c r="M28" s="18">
        <f>(F32*$C$39)+(F32+1)*(1/8)   +   (F58*$C$65)+(F58)*(1/8)   +   (F84*$C$91)+(F84)*(1/8)    +     (F110*$C$117)+(F110+1)*(1/8)</f>
        <v>0.25</v>
      </c>
      <c r="N28" s="70">
        <f>D16</f>
        <v>21.655999999999999</v>
      </c>
      <c r="O28" s="37" t="str">
        <f t="shared" si="0"/>
        <v>All CTs Fit</v>
      </c>
      <c r="P28" s="46"/>
    </row>
    <row r="29" spans="1:21" ht="13.5" hidden="1" thickBot="1" x14ac:dyDescent="0.4">
      <c r="A29" s="102"/>
      <c r="B29" s="84" t="s">
        <v>2</v>
      </c>
      <c r="C29" s="14" t="s">
        <v>26</v>
      </c>
      <c r="D29" s="85"/>
      <c r="E29" s="85"/>
      <c r="F29" s="85"/>
      <c r="G29" s="86"/>
      <c r="H29" s="103"/>
      <c r="I29" s="63"/>
      <c r="J29" s="46"/>
      <c r="K29" s="46"/>
      <c r="L29" s="46"/>
      <c r="M29" s="46"/>
      <c r="N29" s="51"/>
      <c r="O29" s="46"/>
      <c r="P29" s="46"/>
    </row>
    <row r="30" spans="1:21" ht="13.5" hidden="1" thickBot="1" x14ac:dyDescent="0.4">
      <c r="A30" s="102"/>
      <c r="B30" s="84" t="s">
        <v>3</v>
      </c>
      <c r="C30" s="31" t="s">
        <v>14</v>
      </c>
      <c r="D30" s="85"/>
      <c r="E30" s="85"/>
      <c r="F30" s="85"/>
      <c r="G30" s="86"/>
      <c r="H30" s="103"/>
      <c r="I30" s="63"/>
      <c r="J30" s="46"/>
      <c r="K30" s="56" t="s">
        <v>82</v>
      </c>
      <c r="L30" s="80" t="str">
        <f>C25</f>
        <v>CT8</v>
      </c>
      <c r="M30" s="80" t="str">
        <f>C51</f>
        <v>CT9</v>
      </c>
      <c r="N30" s="80" t="str">
        <f>C77</f>
        <v>CT10</v>
      </c>
      <c r="O30" s="81" t="str">
        <f>IF(OR($D$8=4,$D$8=5,$D$8=6,$D$8=7,$D$8=8),C103,"")</f>
        <v/>
      </c>
      <c r="P30" s="46"/>
    </row>
    <row r="31" spans="1:21" hidden="1" x14ac:dyDescent="0.35">
      <c r="A31" s="102"/>
      <c r="B31" s="87" t="s">
        <v>85</v>
      </c>
      <c r="C31" s="32" t="s">
        <v>155</v>
      </c>
      <c r="D31" s="33" t="s">
        <v>157</v>
      </c>
      <c r="E31" s="33" t="s">
        <v>159</v>
      </c>
      <c r="F31" s="34" t="s">
        <v>161</v>
      </c>
      <c r="G31" s="88"/>
      <c r="H31" s="103"/>
      <c r="I31" s="63"/>
      <c r="J31" s="46"/>
      <c r="K31" s="57" t="s">
        <v>20</v>
      </c>
      <c r="L31" s="44" t="str">
        <f>IF(OR(D8=1,D8=2,D8=3,D8=4,D8=5,D8=6,D8=7,D8=8),IF($C$40=TRUE,$D$40&amp;" "&amp;$C$42,IF($D$14="ONAN","SR "&amp;ROUNDUP(1.25*$D$13,-1)&amp; " : 5",IF(OR($D$14="ONAN/ONAF",$D$14="ONAN/ONAF/ONAF"),"SR "&amp;ROUNDUP(1.1875*$D$13,-1) &amp; " : 5 "))), "")</f>
        <v/>
      </c>
      <c r="M31" s="44" t="str">
        <f>IF(OR($D$8=2,$D$8=3,$D$8=4,$D$8=5,$D$8=6,$D$8=7,$D$8=8),IF($C$66=TRUE,$D$66&amp;" "&amp;$C$68,IF($D$14="ONAN","SR "&amp;ROUNDUP(1.25*$D$13,-1)&amp; " : 5",IF(OR($D$14="ONAN/ONAF",$D$14="ONAN/ONAF/ONAF"),"SR "&amp;ROUNDUP(1.1875*$D$13,-1) &amp; " : 5 "))),"")</f>
        <v/>
      </c>
      <c r="N31" s="44" t="str">
        <f>IF(OR($D$8=3,$D$8=4,$D$8=5,$D$8=6,$D$8=7,$D$8=8),IF($C$92=TRUE,$D$92&amp;" "&amp;$C$94,IF($D$14="ONAN","SR "&amp;ROUNDUP(1.25*$D$13,-1)&amp; " : 5",IF(OR($D$14="ONAN/ONAF",$D$14="ONAN/ONAF/ONAF"),"SR "&amp;ROUNDUP(1.1875*$D$13,-1) &amp; " : 5 "))),"")</f>
        <v/>
      </c>
      <c r="O31" s="73" t="str">
        <f>IF(OR($D$8=4,$D$8=5,$D$8=6,$D$8=7,$D$8=8),IF($C$118=TRUE,$D$118&amp;" "&amp;$C$120,IF($D$14="ONAN","SR "&amp;ROUNDUP(1.25*$D$13,-1)&amp; " : 5",IF(OR($D$14="ONAN/ONAF",$D$14="ONAN/ONAF/ONAF"),"SR "&amp;ROUNDUP(1.1875*$D$13,-1) &amp; " : 5 "))),"")</f>
        <v/>
      </c>
      <c r="P31" s="46"/>
    </row>
    <row r="32" spans="1:21" hidden="1" x14ac:dyDescent="0.35">
      <c r="A32" s="102"/>
      <c r="B32" s="87" t="s">
        <v>84</v>
      </c>
      <c r="C32" s="35">
        <v>0</v>
      </c>
      <c r="D32" s="14">
        <v>0</v>
      </c>
      <c r="E32" s="14">
        <v>0</v>
      </c>
      <c r="F32" s="36">
        <v>0</v>
      </c>
      <c r="G32" s="88"/>
      <c r="H32" s="103"/>
      <c r="I32" s="63"/>
      <c r="J32" s="46"/>
      <c r="K32" s="57" t="s">
        <v>21</v>
      </c>
      <c r="L32" s="44" t="str">
        <f>IF(OR(D8=1,D8=2,D8=3,D8=4,D8=5,D8=6,D8=7,D8=8),IF($C$41=TRUE,$D$41&amp;" @ "&amp;$D$40&amp;": 5 ",$F$26),"")</f>
        <v/>
      </c>
      <c r="M32" s="44" t="str">
        <f>IF(OR($D$8=2,$D$8=3,$D$8=4,$D$8=5,$D$8=6,$D$8=7,$D$8=8),IF($C$66=TRUE, $D$67 &amp; " @ " &amp; $D$66 &amp;": 5 ", $F$52),"")</f>
        <v/>
      </c>
      <c r="N32" s="44" t="str">
        <f>IF(OR($D$8=3,$D$8=4,$D$8=5,$D$8=6,$D$8=7,$D$8=8),IF($C$92=TRUE, $D$93 &amp; " @ " &amp; $D$92 &amp;": 5 ", $F$78),"")</f>
        <v/>
      </c>
      <c r="O32" s="73" t="str">
        <f>IF(OR($D$8=4,$D$8=5,$D$8=6,$D$8=7,$D$8=8),IF($C$118=TRUE, $D$119 &amp; " @ " &amp; $D$118 &amp;": 5 ", $F$104),"")</f>
        <v/>
      </c>
      <c r="P32" s="46"/>
    </row>
    <row r="33" spans="1:17" hidden="1" x14ac:dyDescent="0.35">
      <c r="A33" s="102"/>
      <c r="B33" s="232" t="s">
        <v>86</v>
      </c>
      <c r="C33" s="175" t="str">
        <f>IF(
  ROWS($C$33:C33)&lt;= $C$32,
  $C$25 &amp; "-" &amp; C$31 &amp; ROWS($C$33:C33),
  ""
)</f>
        <v/>
      </c>
      <c r="D33" s="176" t="str">
        <f>IF(
  ROWS($D$33:D33)&lt;= $D$32,
  $C$25 &amp; "-" &amp; D$31 &amp; ROWS($D$33:D33),
  ""
)</f>
        <v/>
      </c>
      <c r="E33" s="176" t="str">
        <f>IF(
  ROWS($E$33:E33)&lt;= $E$32,
  $C$25 &amp; "-" &amp; E$31 &amp; ROWS($E$33:E33),
  ""
)</f>
        <v/>
      </c>
      <c r="F33" s="177" t="str">
        <f>IF(
  ROWS($F$33:F33)&lt;= $F$32,
  $C$25 &amp; "-" &amp; F$31 &amp; ROWS($F$33:F33),
  ""
)</f>
        <v/>
      </c>
      <c r="G33" s="88"/>
      <c r="H33" s="103"/>
      <c r="I33" s="63"/>
      <c r="J33" s="46"/>
      <c r="K33" s="57" t="s">
        <v>22</v>
      </c>
      <c r="L33" s="44" t="str">
        <f>IF(OR(D8=1,D8=2,D8=3,D8=4,D8=5,D8=6,D8=7,D8=8),$D$15,"")</f>
        <v/>
      </c>
      <c r="M33" s="44" t="str">
        <f>IF(OR($D$8=2,$D$8=3,$D$8=4,$D$8=5,$D$8=6,$D$8=7,$D$8=8),$D$15,"")</f>
        <v/>
      </c>
      <c r="N33" s="44" t="str">
        <f>IF(OR($D$8=3,$D$8=4,$D$8=5,$D$8=6,$D$8=7,$D$8=8),$D$15,"")</f>
        <v/>
      </c>
      <c r="O33" s="73" t="str">
        <f>IF(OR($D$8=4,$D$8=5,$D$8=6,$D$8=7,$D$8=8),$D$15,"")</f>
        <v/>
      </c>
      <c r="P33" s="46"/>
    </row>
    <row r="34" spans="1:17" hidden="1" x14ac:dyDescent="0.35">
      <c r="A34" s="102"/>
      <c r="B34" s="232"/>
      <c r="C34" s="175" t="str">
        <f>IF(
  ROWS($C$33:C34)&lt;= $C$32,
  $C$25 &amp; "-" &amp; C$31 &amp; ROWS($C$33:C34),
  ""
)</f>
        <v/>
      </c>
      <c r="D34" s="176" t="str">
        <f>IF(
  ROWS($D$33:D34)&lt;= $D$32,
  $C$25 &amp; "-" &amp; D$31 &amp; ROWS($D$33:D34),
  ""
)</f>
        <v/>
      </c>
      <c r="E34" s="176" t="str">
        <f>IF(
  ROWS($E$33:E34)&lt;= $E$32,
  $C$25 &amp; "-" &amp; E$31 &amp; ROWS($E$33:E34),
  ""
)</f>
        <v/>
      </c>
      <c r="F34" s="177" t="str">
        <f>IF(
  ROWS($F$33:F34)&lt;= $F$32,
  $C$25 &amp; "-" &amp; F$31 &amp; ROWS($F$33:F34),
  ""
)</f>
        <v/>
      </c>
      <c r="G34" s="88"/>
      <c r="H34" s="103"/>
      <c r="I34" s="63"/>
      <c r="J34" s="46"/>
      <c r="K34" s="57" t="s">
        <v>117</v>
      </c>
      <c r="L34" s="44" t="str">
        <f>IF(OR(D8=1,D8=2,D8=3,D8=4,D8=5,D8=6,D8=7,D8=8),IF($C$29="Yes",($C$28+1.75), ($C$28+1)),"")&amp;""""</f>
        <v>"</v>
      </c>
      <c r="M34" s="173" t="str">
        <f>IF(OR($D$8=2,$D$8=3,$D$8=4,$D$8=5,$D$8=6,$D$8=7,$D$8=8),IF($C$55="Yes",($C$54+1.75), ($C$28+1)),"")&amp;""""</f>
        <v>"</v>
      </c>
      <c r="N34" s="173" t="str">
        <f>IF(OR($D$8=3,$D$8=4,$D$8=5,$D$8=6,$D$8=7,$D$8=8),IF($C$81="Yes",($C$80+1.75), ($C$28+1)),"")&amp;""""</f>
        <v>"</v>
      </c>
      <c r="O34" s="174" t="str">
        <f>IF(OR($D$8=4,$D$8=5,$D$8=6,$D$8=7,$D$8=8),IF($C$107="Yes",($C$106+1.75), ($C$28+1)),"")&amp;""""</f>
        <v>"</v>
      </c>
      <c r="P34" s="66"/>
    </row>
    <row r="35" spans="1:17" hidden="1" x14ac:dyDescent="0.35">
      <c r="A35" s="102"/>
      <c r="B35" s="232"/>
      <c r="C35" s="175" t="str">
        <f>IF(
  ROWS($C$33:C35)&lt;= $C$32,
  $C$25 &amp; "-" &amp; C$31 &amp; ROWS($C$33:C35),
  ""
)</f>
        <v/>
      </c>
      <c r="D35" s="176" t="str">
        <f>IF(
  ROWS($D$33:D35)&lt;= $D$32,
  $C$25 &amp; "-" &amp; D$31 &amp; ROWS($D$33:D35),
  ""
)</f>
        <v/>
      </c>
      <c r="E35" s="176" t="str">
        <f>IF(
  ROWS($E$33:E35)&lt;= $E$32,
  $C$25 &amp; "-" &amp; E$31 &amp; ROWS($E$33:E35),
  ""
)</f>
        <v/>
      </c>
      <c r="F35" s="177" t="str">
        <f>IF(
  ROWS($F$33:F35)&lt;= $F$32,
  $C$25 &amp; "-" &amp; F$31 &amp; ROWS($F$33:F35),
  ""
)</f>
        <v/>
      </c>
      <c r="G35" s="88"/>
      <c r="H35" s="103"/>
      <c r="I35" s="63"/>
      <c r="J35" s="46"/>
      <c r="K35" s="57" t="s">
        <v>118</v>
      </c>
      <c r="L35" s="44" t="str">
        <f>IF(OR(D8=1,D8=2,D8=3,D8=4,D8=5,D8=6,D8=7,D8=8),"Per Supplier design.","")</f>
        <v/>
      </c>
      <c r="M35" s="44" t="str">
        <f>IF(OR($D$8=2,$D$8=3,$D$8=4,$D$8=5,$D$8=6,$D$8=7,$D$8=8),"Per Supplier design.","")</f>
        <v/>
      </c>
      <c r="N35" s="44" t="str">
        <f>IF(OR($D$8=3,$D$8=4,$D$8=5,$D$8=6,$D$8=7,$D$8=8),"Per Supplier design.","")</f>
        <v/>
      </c>
      <c r="O35" s="73" t="str">
        <f>IF(OR($D$8=4,$D$8=5,$D$8=6,$D$8=7,$D$8=8),"Per Supplier design.","")</f>
        <v/>
      </c>
      <c r="P35" s="66"/>
    </row>
    <row r="36" spans="1:17" hidden="1" x14ac:dyDescent="0.35">
      <c r="A36" s="102"/>
      <c r="B36" s="232"/>
      <c r="C36" s="175" t="str">
        <f>IF(
  ROWS($C$33:C36)&lt;= $C$32,
  $C$25 &amp; "-" &amp; C$31 &amp; ROWS($C$33:C36),
  ""
)</f>
        <v/>
      </c>
      <c r="D36" s="176" t="str">
        <f>IF(
  ROWS($D$33:D36)&lt;= $D$32,
  $C$25 &amp; "-" &amp; D$31 &amp; ROWS($D$33:D36),
  ""
)</f>
        <v/>
      </c>
      <c r="E36" s="176" t="str">
        <f>IF(
  ROWS($E$33:E36)&lt;= $E$32,
  $C$25 &amp; "-" &amp; E$31 &amp; ROWS($E$33:E36),
  ""
)</f>
        <v/>
      </c>
      <c r="F36" s="177" t="str">
        <f>IF(
  ROWS($F$33:F36)&lt;= $F$32,
  $C$25 &amp; "-" &amp; F$31 &amp; ROWS($F$33:F36),
  ""
)</f>
        <v/>
      </c>
      <c r="G36" s="88"/>
      <c r="H36" s="103"/>
      <c r="I36" s="63"/>
      <c r="J36" s="46"/>
      <c r="K36" s="57" t="s">
        <v>92</v>
      </c>
      <c r="L36" s="44" t="str">
        <f>IF(OR(D8=1,D8=2,D8=3,D8=4,D8=5,D8=6,D8=7,D8=8),IF($C$39&lt;&gt;"",$C$39,"Per Supplier design."),"")</f>
        <v/>
      </c>
      <c r="M36" s="44" t="str">
        <f>IF(OR($D$8=2,$D$8=3,$D$8=4,$D$8=5,$D$8=6,$D$8=7,$D$8=8),IF($C$65&lt;&gt;"",$C$65,"Per Supplier design."),"")</f>
        <v/>
      </c>
      <c r="N36" s="44" t="str">
        <f>IF(OR($D$8=3,$D$8=4,$D$8=5,$D$8=6,$D$8=7,$D$8=8),IF($C$91&lt;&gt;"",$C$65,"Per Supplier design."),"")</f>
        <v/>
      </c>
      <c r="O36" s="73" t="str">
        <f>IF(OR($D$8=4,$D$8=5,$D$8=6,$D$8=7,$D$8=8),IF($C$117&lt;&gt;"",$C$65,"Per Supplier design."),"")</f>
        <v/>
      </c>
      <c r="P36" s="66"/>
    </row>
    <row r="37" spans="1:17" hidden="1" x14ac:dyDescent="0.35">
      <c r="A37" s="102"/>
      <c r="B37" s="232"/>
      <c r="C37" s="175" t="str">
        <f>IF(
  ROWS($C$33:C37)&lt;= $C$32,
  $C$25 &amp; "-" &amp; C$31 &amp; ROWS($C$33:C37),
  ""
)</f>
        <v/>
      </c>
      <c r="D37" s="176" t="str">
        <f>IF(
  ROWS($D$33:D37)&lt;= $D$32,
  $C$25 &amp; "-" &amp; D$31 &amp; ROWS($D$33:D37),
  ""
)</f>
        <v/>
      </c>
      <c r="E37" s="176" t="str">
        <f>IF(
  ROWS($E$33:E37)&lt;= $E$32,
  $C$25 &amp; "-" &amp; E$31 &amp; ROWS($E$33:E37),
  ""
)</f>
        <v/>
      </c>
      <c r="F37" s="177" t="str">
        <f>IF(
  ROWS($F$33:F37)&lt;= $F$32,
  $C$25 &amp; "-" &amp; F$31 &amp; ROWS($F$33:F37),
  ""
)</f>
        <v/>
      </c>
      <c r="G37" s="88"/>
      <c r="H37" s="103"/>
      <c r="I37" s="63"/>
      <c r="J37" s="46"/>
      <c r="K37" s="58" t="s">
        <v>91</v>
      </c>
      <c r="L37" s="44" t="str">
        <f>IF(OR(D8=1,D8=2,D8=3,D8=4,D8=5,D8=6,D8=7,D8=8),$C$43,"")</f>
        <v/>
      </c>
      <c r="M37" s="44" t="str">
        <f>IF(OR($D$8=2,$D$8=3,$D$8=4,$D$8=5,$D$8=6,$D$8=7,$D$8=8),$C$69,"")</f>
        <v/>
      </c>
      <c r="N37" s="44" t="str">
        <f>IF(OR($D$8=3,$D$8=4,$D$8=5,$D$8=6,$D$8=7,$D$8=8),$C$95,"")</f>
        <v/>
      </c>
      <c r="O37" s="73" t="str">
        <f>IF(OR($D$8=4,$D$8=5,$D$8=6,$D$8=7,$D$8=8),$C$95,"")</f>
        <v/>
      </c>
      <c r="P37" s="66"/>
    </row>
    <row r="38" spans="1:17" ht="13.5" hidden="1" thickBot="1" x14ac:dyDescent="0.4">
      <c r="A38" s="102"/>
      <c r="B38" s="232"/>
      <c r="C38" s="178" t="str">
        <f>IF(
  ROWS($C$33:C38)&lt;= $C$32,
  $C$25 &amp; "-" &amp; C$31 &amp; ROWS($C$33:C38),
  ""
)</f>
        <v/>
      </c>
      <c r="D38" s="179" t="str">
        <f>IF(
  ROWS($D$33:D38)&lt;= $D$32,
  $C$25 &amp; "-" &amp; D$31 &amp; ROWS($D$33:D38),
  ""
)</f>
        <v/>
      </c>
      <c r="E38" s="179" t="str">
        <f>IF(
  ROWS($E$33:E38)&lt;= $E$32,
  $C$25 &amp; "-" &amp; E$31 &amp; ROWS($E$33:E38),
  ""
)</f>
        <v/>
      </c>
      <c r="F38" s="180" t="str">
        <f>IF(
  ROWS($F$33:F38)&lt;= $F$32,
  $C$25 &amp; "-" &amp; F$31 &amp; ROWS($F$33:F38),
  ""
)</f>
        <v/>
      </c>
      <c r="G38" s="88"/>
      <c r="H38" s="103"/>
      <c r="I38" s="63"/>
      <c r="J38" s="46"/>
      <c r="K38" s="57" t="s">
        <v>97</v>
      </c>
      <c r="L38" s="44" t="str">
        <f>IF(OR(D8=1,D8=2,D8=3,D8=4,D8=5,D8=6,D8=7,D8=8),"#10 Tefzel, 24 ft Long","")</f>
        <v/>
      </c>
      <c r="M38" s="44" t="str">
        <f>IF(OR($D$8=2,$D$8=3,$D$8=4,$D$8=5,$D$8=6,$D$8=7,$D$8=8),"#10 Tefzel, 24 ft Long","")</f>
        <v/>
      </c>
      <c r="N38" s="44" t="str">
        <f>IF(OR($D$8=3,$D$8=4,$D$8=5,$D$8=6,$D$8=7,$D$8=8),"#10 Tefzel, 24 ft Long","")</f>
        <v/>
      </c>
      <c r="O38" s="73" t="str">
        <f>IF(OR($D$8=4,$D$8=5,$D$8=6,$D$8=7,$D$8=8),"#10 Tefzel, 24 ft Long","")</f>
        <v/>
      </c>
      <c r="P38" s="66"/>
    </row>
    <row r="39" spans="1:17" ht="39" hidden="1" x14ac:dyDescent="0.35">
      <c r="A39" s="102"/>
      <c r="B39" s="84" t="s">
        <v>119</v>
      </c>
      <c r="C39" s="23"/>
      <c r="D39" s="85"/>
      <c r="E39" s="85"/>
      <c r="F39" s="85"/>
      <c r="G39" s="88"/>
      <c r="H39" s="103"/>
      <c r="I39" s="63"/>
      <c r="J39" s="46"/>
      <c r="K39" s="59" t="s">
        <v>98</v>
      </c>
      <c r="L39" s="47" t="str">
        <f>IF(OR(D8=1,D8=2,D8=3,D8=4,D8=5,D8=6,D8=7,D8=8),$C$44,"")</f>
        <v/>
      </c>
      <c r="M39" s="47" t="str">
        <f>IF(OR($D$8=2,$D$8=3,$D$8=4,$D$8=5,$D$8=6,$D$8=7,$D$8=8),$C$70,"")</f>
        <v/>
      </c>
      <c r="N39" s="47" t="str">
        <f>IF(OR($D$8=3,$D$8=4,$D$8=5,$D$8=6,$D$8=7,$D$8=8),$C$96,"")</f>
        <v/>
      </c>
      <c r="O39" s="74" t="str">
        <f>IF(OR($D$8=4,$D$8=5,$D$8=6,$D$8=7,$D$8=8),$C$122,"")</f>
        <v/>
      </c>
      <c r="P39" s="66"/>
    </row>
    <row r="40" spans="1:17" hidden="1" x14ac:dyDescent="0.35">
      <c r="A40" s="102"/>
      <c r="B40" s="84" t="s">
        <v>120</v>
      </c>
      <c r="C40" s="19" t="b">
        <f>IF(OR(C26="WTI", C26="LDC"),FALSE,TRUE)</f>
        <v>1</v>
      </c>
      <c r="D40" s="21">
        <v>2000</v>
      </c>
      <c r="E40" s="85"/>
      <c r="F40" s="85"/>
      <c r="G40" s="88"/>
      <c r="H40" s="103"/>
      <c r="I40" s="63"/>
      <c r="J40" s="46"/>
      <c r="K40" s="59" t="s">
        <v>0</v>
      </c>
      <c r="L40" s="47" t="str">
        <f>IF(OR(D8=1,D8=2,D8=3,D8=4,D8=5,D8=6,D8=7,D8=8),$C$23,"")</f>
        <v/>
      </c>
      <c r="M40" s="47" t="str">
        <f>IF(OR($D$8=2,$D$8=3,$D$8=4,$D$8=5,$D$8=6,$D$8=7,$D$8=8),$C$49,"")</f>
        <v/>
      </c>
      <c r="N40" s="47" t="str">
        <f>IF(OR($D$8=3,$D$8=4,$D$8=5,$D$8=6,$D$8=7,$D$8=8),$C$75,"")</f>
        <v/>
      </c>
      <c r="O40" s="74" t="str">
        <f>IF(OR($D$8=4,$D$8=5,$D$8=6,$D$8=7,$D$8=8),$C$101,"")</f>
        <v/>
      </c>
      <c r="P40" s="66"/>
    </row>
    <row r="41" spans="1:17" hidden="1" x14ac:dyDescent="0.35">
      <c r="A41" s="102"/>
      <c r="B41" s="84" t="s">
        <v>121</v>
      </c>
      <c r="C41" s="19" t="b">
        <f>IF(OR(C26="WTI", C26="LDC"),FALSE,TRUE)</f>
        <v>1</v>
      </c>
      <c r="D41" s="21" t="s">
        <v>143</v>
      </c>
      <c r="E41" s="85"/>
      <c r="F41" s="85"/>
      <c r="G41" s="88"/>
      <c r="H41" s="103"/>
      <c r="I41" s="63"/>
      <c r="J41" s="46"/>
      <c r="K41" s="59" t="s">
        <v>155</v>
      </c>
      <c r="L41" s="47" t="str">
        <f>IF(OR(D8=1,D8=2,D8=3,D8=4,D8=5,D8=6,D8=7,D8=8),$C$32,"")</f>
        <v/>
      </c>
      <c r="M41" s="47" t="str">
        <f>IF(OR($D$8=2,$D$8=3,$D$8=4,$D$8=5,$D$8=6,$D$8=7,$D$8=8),$C$58,"")</f>
        <v/>
      </c>
      <c r="N41" s="47" t="str">
        <f>IF(OR($D$8=3,$D$8=4,$D$8=5,$D$8=6,$D$8=7,$D$8=8),$C$84,"")</f>
        <v/>
      </c>
      <c r="O41" s="74" t="str">
        <f>IF(OR($D$8=4,$D$8=5,$D$8=6,$D$8=7,$D$8=8),$C$110,"")</f>
        <v/>
      </c>
      <c r="P41" s="66"/>
    </row>
    <row r="42" spans="1:17" hidden="1" x14ac:dyDescent="0.35">
      <c r="A42" s="102"/>
      <c r="B42" s="84" t="str">
        <f>IF(C40=TRUE, "Ratio Type", "")</f>
        <v>Ratio Type</v>
      </c>
      <c r="C42" s="14" t="s">
        <v>30</v>
      </c>
      <c r="D42" s="85"/>
      <c r="E42" s="85"/>
      <c r="F42" s="85"/>
      <c r="G42" s="88"/>
      <c r="H42" s="103"/>
      <c r="I42" s="63"/>
      <c r="J42" s="46"/>
      <c r="K42" s="59" t="s">
        <v>157</v>
      </c>
      <c r="L42" s="47" t="str">
        <f>IF(OR(D8=1,D8=2,D8=3,D8=4,D8=5,D8=6,D8=7,D8=8),$D$32,"")</f>
        <v/>
      </c>
      <c r="M42" s="47" t="str">
        <f>IF(OR($D$8=2,$D$8=3,$D$8=4,$D$8=5,$D$8=6,$D$8=7,$D$8=8),$D$58,"")</f>
        <v/>
      </c>
      <c r="N42" s="47" t="str">
        <f>IF(OR(,$D$8=3,$D$8=4,$D$8=5,$D$8=6,$D$8=7,$D$8=8),$D$84,"")</f>
        <v/>
      </c>
      <c r="O42" s="74" t="str">
        <f>IF(OR($D$8=4,$D$8=5,$D$8=6,$D$8=7,$D$8=8),$D$110,"")</f>
        <v/>
      </c>
      <c r="P42" s="66"/>
    </row>
    <row r="43" spans="1:17" hidden="1" x14ac:dyDescent="0.35">
      <c r="A43" s="102"/>
      <c r="B43" s="89" t="s">
        <v>91</v>
      </c>
      <c r="C43" s="39">
        <v>2</v>
      </c>
      <c r="D43" s="85"/>
      <c r="E43" s="85"/>
      <c r="F43" s="85"/>
      <c r="G43" s="88"/>
      <c r="H43" s="103"/>
      <c r="I43" s="63"/>
      <c r="J43" s="46"/>
      <c r="K43" s="59" t="s">
        <v>159</v>
      </c>
      <c r="L43" s="47" t="str">
        <f>IF(OR(D8=1,D8=2,D8=3,D8=4,D8=5,D8=6,D8=7,D8=8),$E$32,"")</f>
        <v/>
      </c>
      <c r="M43" s="47" t="str">
        <f>IF(OR($D$8=2,$D$8=3,$D$8=4,$D$8=5,$D$8=6,$D$8=7,$D$8=8),$E$58,"")</f>
        <v/>
      </c>
      <c r="N43" s="47" t="str">
        <f>IF(OR($D$8=3,$D$8=4,$D$8=5,$D$8=6,$D$8=7,$D$8=8),$E$84,"")</f>
        <v/>
      </c>
      <c r="O43" s="74" t="str">
        <f>IF(OR($D$8=4,$D$8=5,$D$8=6,$D$8=7,$D$8=8),$E$110,"")</f>
        <v/>
      </c>
      <c r="P43" s="66"/>
    </row>
    <row r="44" spans="1:17" hidden="1" x14ac:dyDescent="0.35">
      <c r="A44" s="102"/>
      <c r="B44" s="233" t="s">
        <v>96</v>
      </c>
      <c r="C44" s="234" t="s">
        <v>103</v>
      </c>
      <c r="D44" s="234"/>
      <c r="E44" s="234"/>
      <c r="F44" s="234"/>
      <c r="G44" s="88"/>
      <c r="H44" s="103"/>
      <c r="I44" s="63"/>
      <c r="J44" s="46"/>
      <c r="K44" s="59" t="s">
        <v>161</v>
      </c>
      <c r="L44" s="47">
        <f>$F$32</f>
        <v>0</v>
      </c>
      <c r="M44" s="47" t="str">
        <f>IF(OR($D$8=2,$D$8=3,$D$8=4,$D$8=5,$D$8=6,$D$8=7,$D$8=8),$F$58,"")</f>
        <v/>
      </c>
      <c r="N44" s="47" t="str">
        <f>IF(OR($D$8=3,$D$8=4,$D$8=5,$D$8=6,$D$8=7,$D$8=8),$F$84,"")</f>
        <v/>
      </c>
      <c r="O44" s="74" t="str">
        <f>IF(OR($D$8=4,$D$8=5,$D$8=6,$D$8=7,$D$8=8),$F$110,"")</f>
        <v/>
      </c>
      <c r="P44" s="66"/>
    </row>
    <row r="45" spans="1:17" hidden="1" x14ac:dyDescent="0.35">
      <c r="A45" s="102"/>
      <c r="B45" s="233"/>
      <c r="C45" s="234"/>
      <c r="D45" s="234"/>
      <c r="E45" s="234"/>
      <c r="F45" s="234"/>
      <c r="G45" s="88"/>
      <c r="H45" s="103"/>
      <c r="I45" s="63"/>
      <c r="J45" s="46"/>
      <c r="K45" s="59" t="s">
        <v>104</v>
      </c>
      <c r="L45" s="47">
        <f>SUM(L41:L44)</f>
        <v>0</v>
      </c>
      <c r="M45" s="47" t="str">
        <f>IF(OR($D$8=2,$D$8=3,$D$8=4,$D$8=5,$D$8=6,$D$8=7,$D$8=8),SUM(M41:M44),"")</f>
        <v/>
      </c>
      <c r="N45" s="47" t="str">
        <f>IF(OR($D$8=3,$D$8=4,$D$8=5,$D$8=6,$D$8=7,$D$8=8),SUM(N41:N44),"")</f>
        <v/>
      </c>
      <c r="O45" s="74" t="str">
        <f>IF(OR($D$8=4,$D$8=5,$D$8=6,$D$8=7,$D$8=8),SUM(O41:O44),"")</f>
        <v/>
      </c>
      <c r="P45" s="66"/>
    </row>
    <row r="46" spans="1:17" ht="13.5" hidden="1" thickBot="1" x14ac:dyDescent="0.4">
      <c r="A46" s="102"/>
      <c r="B46" s="90"/>
      <c r="C46" s="85"/>
      <c r="D46" s="85"/>
      <c r="E46" s="85"/>
      <c r="F46" s="85"/>
      <c r="G46" s="88"/>
      <c r="H46" s="103"/>
      <c r="I46" s="63"/>
      <c r="J46" s="46"/>
      <c r="K46" s="82"/>
      <c r="L46" s="68"/>
      <c r="M46" s="68"/>
      <c r="N46" s="68" t="s">
        <v>174</v>
      </c>
      <c r="O46" s="83">
        <f>SUM(L45:O45)</f>
        <v>0</v>
      </c>
      <c r="P46" s="66"/>
    </row>
    <row r="47" spans="1:17" ht="13.5" hidden="1" thickBot="1" x14ac:dyDescent="0.4">
      <c r="A47" s="102"/>
      <c r="B47" s="91"/>
      <c r="C47" s="92"/>
      <c r="D47" s="92"/>
      <c r="E47" s="92"/>
      <c r="F47" s="92"/>
      <c r="G47" s="93"/>
      <c r="H47" s="103"/>
      <c r="I47" s="63"/>
      <c r="J47" s="46"/>
      <c r="K47" s="46"/>
      <c r="L47" s="46"/>
      <c r="M47" s="46"/>
      <c r="N47" s="51"/>
      <c r="O47" s="46"/>
      <c r="P47" s="66"/>
    </row>
    <row r="48" spans="1:17" ht="13.5" hidden="1" thickBot="1" x14ac:dyDescent="0.4">
      <c r="A48" s="102"/>
      <c r="B48" s="102"/>
      <c r="C48" s="103"/>
      <c r="D48" s="103"/>
      <c r="E48" s="103"/>
      <c r="F48" s="103"/>
      <c r="G48" s="102"/>
      <c r="H48" s="103"/>
      <c r="I48" s="63"/>
      <c r="J48" s="63"/>
      <c r="K48" s="64"/>
      <c r="L48" s="63"/>
      <c r="M48" s="63"/>
      <c r="N48" s="63"/>
      <c r="O48" s="63"/>
      <c r="P48" s="63"/>
      <c r="Q48" s="63"/>
    </row>
    <row r="49" spans="1:25" hidden="1" x14ac:dyDescent="0.35">
      <c r="A49" s="102"/>
      <c r="B49" s="235" t="s">
        <v>0</v>
      </c>
      <c r="C49" s="214" t="s">
        <v>141</v>
      </c>
      <c r="D49" s="214"/>
      <c r="E49" s="214"/>
      <c r="F49" s="214"/>
      <c r="G49" s="237">
        <v>2</v>
      </c>
      <c r="H49" s="103"/>
      <c r="I49" s="63"/>
      <c r="J49" s="63"/>
      <c r="K49" s="64"/>
      <c r="L49" s="63"/>
      <c r="M49" s="63"/>
      <c r="N49" s="63"/>
      <c r="O49" s="63"/>
      <c r="P49" s="63"/>
      <c r="Q49" s="63"/>
    </row>
    <row r="50" spans="1:25" hidden="1" x14ac:dyDescent="0.35">
      <c r="A50" s="102"/>
      <c r="B50" s="236"/>
      <c r="C50" s="215"/>
      <c r="D50" s="215"/>
      <c r="E50" s="215"/>
      <c r="F50" s="215"/>
      <c r="G50" s="238"/>
      <c r="H50" s="103"/>
      <c r="I50" s="63"/>
      <c r="J50" s="63"/>
      <c r="K50" s="64"/>
      <c r="L50" s="63"/>
      <c r="M50" s="63"/>
      <c r="N50" s="63"/>
      <c r="O50" s="63"/>
      <c r="P50" s="63"/>
      <c r="Q50" s="63"/>
    </row>
    <row r="51" spans="1:25" hidden="1" x14ac:dyDescent="0.35">
      <c r="A51" s="102"/>
      <c r="B51" s="84" t="s">
        <v>82</v>
      </c>
      <c r="C51" s="24" t="s">
        <v>167</v>
      </c>
      <c r="D51" s="85"/>
      <c r="E51" s="85"/>
      <c r="F51" s="85"/>
      <c r="G51" s="86"/>
      <c r="H51" s="103"/>
      <c r="I51" s="63"/>
      <c r="J51" s="63"/>
      <c r="K51" s="64"/>
      <c r="L51" s="63"/>
      <c r="M51" s="63"/>
      <c r="N51" s="63"/>
      <c r="O51" s="63"/>
      <c r="P51" s="63"/>
      <c r="Q51" s="63"/>
      <c r="R51" s="63"/>
    </row>
    <row r="52" spans="1:25" hidden="1" x14ac:dyDescent="0.35">
      <c r="A52" s="102"/>
      <c r="B52" s="84" t="s">
        <v>9</v>
      </c>
      <c r="C52" s="16" t="s">
        <v>16</v>
      </c>
      <c r="D52" s="85"/>
      <c r="E52" s="85" t="str">
        <f>IF(OR(C52="WTI", C52="LDC"),"CT Accuracy", "")</f>
        <v/>
      </c>
      <c r="F52" s="14"/>
      <c r="G52" s="86"/>
      <c r="H52" s="103"/>
      <c r="I52" s="63"/>
      <c r="J52" s="63"/>
      <c r="K52" s="64"/>
      <c r="L52" s="63"/>
      <c r="M52" s="63"/>
      <c r="N52" s="63"/>
      <c r="O52" s="63"/>
      <c r="P52" s="63"/>
      <c r="Q52" s="63"/>
      <c r="R52" s="63"/>
    </row>
    <row r="53" spans="1:25" hidden="1" x14ac:dyDescent="0.35">
      <c r="A53" s="102"/>
      <c r="B53" s="84" t="s">
        <v>10</v>
      </c>
      <c r="C53" s="16" t="s">
        <v>18</v>
      </c>
      <c r="D53" s="85"/>
      <c r="E53" s="85"/>
      <c r="F53" s="85"/>
      <c r="G53" s="86"/>
      <c r="H53" s="103"/>
      <c r="I53" s="63"/>
      <c r="J53" s="63"/>
      <c r="K53" s="64"/>
      <c r="L53" s="63"/>
      <c r="M53" s="63"/>
      <c r="N53" s="63"/>
      <c r="O53" s="63"/>
      <c r="P53" s="63"/>
      <c r="Q53" s="63"/>
      <c r="R53" s="63"/>
      <c r="S53" s="65"/>
      <c r="T53" s="65"/>
      <c r="U53" s="65"/>
      <c r="V53" s="65"/>
      <c r="W53" s="65"/>
      <c r="X53" s="63"/>
      <c r="Y53" s="63"/>
    </row>
    <row r="54" spans="1:25" hidden="1" x14ac:dyDescent="0.35">
      <c r="A54" s="102"/>
      <c r="B54" s="84" t="s">
        <v>90</v>
      </c>
      <c r="C54" s="17">
        <v>4</v>
      </c>
      <c r="D54" s="85"/>
      <c r="E54" s="85"/>
      <c r="F54" s="85"/>
      <c r="G54" s="86"/>
      <c r="H54" s="103"/>
      <c r="I54" s="63"/>
      <c r="J54" s="63"/>
      <c r="K54" s="64"/>
      <c r="L54" s="63"/>
      <c r="M54" s="63"/>
      <c r="N54" s="63"/>
      <c r="O54" s="63"/>
      <c r="P54" s="63"/>
      <c r="Q54" s="63"/>
      <c r="R54" s="63"/>
      <c r="S54" s="65"/>
      <c r="T54" s="65"/>
      <c r="U54" s="65"/>
      <c r="V54" s="65"/>
      <c r="W54" s="65"/>
      <c r="X54" s="63"/>
      <c r="Y54" s="63"/>
    </row>
    <row r="55" spans="1:25" hidden="1" x14ac:dyDescent="0.35">
      <c r="A55" s="102"/>
      <c r="B55" s="84" t="s">
        <v>2</v>
      </c>
      <c r="C55" s="14" t="s">
        <v>26</v>
      </c>
      <c r="D55" s="85"/>
      <c r="E55" s="85"/>
      <c r="F55" s="85"/>
      <c r="G55" s="86"/>
      <c r="H55" s="103"/>
      <c r="I55" s="63"/>
      <c r="J55" s="63"/>
      <c r="K55" s="64"/>
      <c r="L55" s="63"/>
      <c r="M55" s="63"/>
      <c r="N55" s="63"/>
      <c r="O55" s="63"/>
      <c r="P55" s="63"/>
      <c r="Q55" s="63"/>
      <c r="R55" s="63"/>
      <c r="S55" s="65"/>
      <c r="T55" s="65"/>
      <c r="U55" s="65"/>
      <c r="V55" s="65"/>
      <c r="W55" s="63"/>
      <c r="X55" s="63"/>
      <c r="Y55" s="63"/>
    </row>
    <row r="56" spans="1:25" ht="13.5" hidden="1" thickBot="1" x14ac:dyDescent="0.4">
      <c r="A56" s="102"/>
      <c r="B56" s="84" t="s">
        <v>3</v>
      </c>
      <c r="C56" s="31" t="s">
        <v>14</v>
      </c>
      <c r="D56" s="85"/>
      <c r="E56" s="85"/>
      <c r="F56" s="85"/>
      <c r="G56" s="86"/>
      <c r="H56" s="103"/>
      <c r="I56" s="63"/>
      <c r="J56" s="63"/>
      <c r="K56" s="64"/>
      <c r="L56" s="63"/>
      <c r="M56" s="63"/>
      <c r="N56" s="63"/>
      <c r="O56" s="63"/>
      <c r="P56" s="63"/>
      <c r="Q56" s="63"/>
      <c r="R56" s="63"/>
      <c r="S56" s="65"/>
      <c r="T56" s="65"/>
      <c r="U56" s="65"/>
      <c r="V56" s="65"/>
      <c r="W56" s="63"/>
      <c r="X56" s="63"/>
      <c r="Y56" s="63"/>
    </row>
    <row r="57" spans="1:25" hidden="1" x14ac:dyDescent="0.35">
      <c r="A57" s="102"/>
      <c r="B57" s="87" t="s">
        <v>85</v>
      </c>
      <c r="C57" s="32" t="s">
        <v>155</v>
      </c>
      <c r="D57" s="33" t="s">
        <v>157</v>
      </c>
      <c r="E57" s="33" t="s">
        <v>159</v>
      </c>
      <c r="F57" s="34" t="s">
        <v>161</v>
      </c>
      <c r="G57" s="86"/>
      <c r="H57" s="103"/>
      <c r="I57" s="63"/>
      <c r="J57" s="63"/>
      <c r="K57" s="64"/>
      <c r="L57" s="63"/>
      <c r="M57" s="63"/>
      <c r="N57" s="63"/>
      <c r="O57" s="63"/>
      <c r="P57" s="63"/>
      <c r="Q57" s="63"/>
      <c r="R57" s="63"/>
      <c r="S57" s="65"/>
      <c r="T57" s="65"/>
      <c r="U57" s="65"/>
      <c r="V57" s="65"/>
      <c r="W57" s="63"/>
      <c r="X57" s="63"/>
      <c r="Y57" s="63"/>
    </row>
    <row r="58" spans="1:25" hidden="1" x14ac:dyDescent="0.35">
      <c r="A58" s="102"/>
      <c r="B58" s="87" t="s">
        <v>84</v>
      </c>
      <c r="C58" s="35">
        <v>0</v>
      </c>
      <c r="D58" s="14">
        <v>0</v>
      </c>
      <c r="E58" s="14">
        <v>0</v>
      </c>
      <c r="F58" s="36">
        <v>0</v>
      </c>
      <c r="G58" s="86"/>
      <c r="H58" s="103"/>
      <c r="I58" s="63"/>
      <c r="J58" s="63"/>
      <c r="K58" s="64"/>
      <c r="L58" s="63"/>
      <c r="M58" s="63"/>
      <c r="N58" s="63"/>
      <c r="O58" s="63"/>
      <c r="P58" s="63"/>
      <c r="Q58" s="63"/>
      <c r="R58" s="63"/>
      <c r="S58" s="65"/>
      <c r="T58" s="65"/>
      <c r="U58" s="65"/>
      <c r="V58" s="65"/>
      <c r="W58" s="63"/>
      <c r="X58" s="63"/>
      <c r="Y58" s="63"/>
    </row>
    <row r="59" spans="1:25" hidden="1" x14ac:dyDescent="0.35">
      <c r="A59" s="102"/>
      <c r="B59" s="232" t="s">
        <v>86</v>
      </c>
      <c r="C59" s="175" t="str">
        <f>IF(
  ROWS($C$59:C59)&lt;= $C$58,
  $C$51 &amp; "-" &amp; C$57 &amp; ROWS($C$59:C59),
  ""
)</f>
        <v/>
      </c>
      <c r="D59" s="176" t="str">
        <f>IF(
  ROWS($D$59:D59)&lt;= $D$58,
  $C$51 &amp; "-" &amp; D$57 &amp; ROWS($D$59:D59),
  ""
)</f>
        <v/>
      </c>
      <c r="E59" s="176" t="str">
        <f>IF(
  ROWS($E$59:E59)&lt;= $E$58,
  $C$51 &amp; "-" &amp; E$57 &amp; ROWS($E$59:E59),
  ""
)</f>
        <v/>
      </c>
      <c r="F59" s="177" t="str">
        <f>IF(
  ROWS($F$59:F59)&lt;= $F$58,
  $C$51 &amp; "-" &amp; F$57 &amp; ROWS($F$59:F59),
  ""
)</f>
        <v/>
      </c>
      <c r="G59" s="86"/>
      <c r="H59" s="103"/>
      <c r="I59" s="63"/>
      <c r="J59" s="63"/>
      <c r="K59" s="64"/>
      <c r="L59" s="63"/>
      <c r="M59" s="63"/>
      <c r="N59" s="63"/>
      <c r="O59" s="63"/>
      <c r="P59" s="63"/>
      <c r="Q59" s="63"/>
      <c r="R59" s="63"/>
      <c r="S59" s="65"/>
      <c r="T59" s="65"/>
      <c r="U59" s="65"/>
      <c r="V59" s="65"/>
      <c r="W59" s="63"/>
      <c r="X59" s="63"/>
      <c r="Y59" s="63"/>
    </row>
    <row r="60" spans="1:25" hidden="1" x14ac:dyDescent="0.35">
      <c r="A60" s="102"/>
      <c r="B60" s="232"/>
      <c r="C60" s="175" t="str">
        <f>IF(
  ROWS($C$59:C60)&lt;= $C$58,
  $C$51 &amp; "-" &amp; C$57 &amp; ROWS($C$59:C60),
  ""
)</f>
        <v/>
      </c>
      <c r="D60" s="176" t="str">
        <f>IF(
  ROWS($D$59:D60)&lt;= $D$58,
  $C$51 &amp; "-" &amp; D$57 &amp; ROWS($D$59:D60),
  ""
)</f>
        <v/>
      </c>
      <c r="E60" s="176" t="str">
        <f>IF(
  ROWS($E$59:E60)&lt;= $E$58,
  $C$51 &amp; "-" &amp; E$57 &amp; ROWS($E$59:E60),
  ""
)</f>
        <v/>
      </c>
      <c r="F60" s="177" t="str">
        <f>IF(
  ROWS($F$59:F60)&lt;= $F$58,
  $C$25 &amp; "-" &amp; F$57 &amp; ROWS($F$59:F60),
  ""
)</f>
        <v/>
      </c>
      <c r="G60" s="86"/>
      <c r="H60" s="103"/>
      <c r="I60" s="63"/>
      <c r="J60" s="63"/>
      <c r="K60" s="64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</row>
    <row r="61" spans="1:25" hidden="1" x14ac:dyDescent="0.35">
      <c r="A61" s="102"/>
      <c r="B61" s="232"/>
      <c r="C61" s="175" t="str">
        <f>IF(
  ROWS($C$59:C61)&lt;= $C$58,
  $C$51 &amp; "-" &amp; C$57 &amp; ROWS($C$59:C61),
  ""
)</f>
        <v/>
      </c>
      <c r="D61" s="176" t="str">
        <f>IF(
  ROWS($D$59:D61)&lt;= $D$58,
  $C$51 &amp; "-" &amp; D$57 &amp; ROWS($D$59:D61),
  ""
)</f>
        <v/>
      </c>
      <c r="E61" s="176" t="str">
        <f>IF(
  ROWS($E$59:E61)&lt;= $E$58,
  $C$51 &amp; "-" &amp; E$57 &amp; ROWS($E$59:E61),
  ""
)</f>
        <v/>
      </c>
      <c r="F61" s="177" t="str">
        <f>IF(
  ROWS($F$59:F61)&lt;= $F$58,
  $C$25 &amp; "-" &amp; F$57 &amp; ROWS($F$59:F61),
  ""
)</f>
        <v/>
      </c>
      <c r="G61" s="86"/>
      <c r="H61" s="103"/>
      <c r="I61" s="63"/>
      <c r="J61" s="63"/>
      <c r="K61" s="64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</row>
    <row r="62" spans="1:25" hidden="1" x14ac:dyDescent="0.35">
      <c r="A62" s="102"/>
      <c r="B62" s="232"/>
      <c r="C62" s="175" t="str">
        <f>IF(
  ROWS($C$59:C62)&lt;= $C$58,
  $C$51 &amp; "-" &amp; C$57 &amp; ROWS($C$59:C62),
  ""
)</f>
        <v/>
      </c>
      <c r="D62" s="176" t="str">
        <f>IF(
  ROWS($D$59:D62)&lt;= $D$58,
  $C$51 &amp; "-" &amp; D$57 &amp; ROWS($D$59:D62),
  ""
)</f>
        <v/>
      </c>
      <c r="E62" s="176" t="str">
        <f>IF(
  ROWS($E$59:E62)&lt;= $E$58,
  $C$51 &amp; "-" &amp; E$57 &amp; ROWS($E$59:E62),
  ""
)</f>
        <v/>
      </c>
      <c r="F62" s="177" t="str">
        <f>IF(
  ROWS($F$59:F62)&lt;= $F$58,
  $C$25 &amp; "-" &amp; F$57 &amp; ROWS($F$59:F62),
  ""
)</f>
        <v/>
      </c>
      <c r="G62" s="86"/>
      <c r="H62" s="103"/>
      <c r="I62" s="63"/>
      <c r="J62" s="63"/>
      <c r="K62" s="64"/>
      <c r="L62" s="63"/>
      <c r="M62" s="63"/>
      <c r="N62" s="63"/>
      <c r="O62" s="63"/>
      <c r="P62" s="63"/>
      <c r="Q62" s="63"/>
      <c r="R62" s="63"/>
      <c r="S62" s="65"/>
      <c r="T62" s="65"/>
      <c r="U62" s="65"/>
      <c r="V62" s="65"/>
      <c r="W62" s="65"/>
      <c r="X62" s="63"/>
      <c r="Y62" s="63"/>
    </row>
    <row r="63" spans="1:25" hidden="1" x14ac:dyDescent="0.35">
      <c r="A63" s="102"/>
      <c r="B63" s="232"/>
      <c r="C63" s="175" t="str">
        <f>IF(
  ROWS($C$59:C63)&lt;= $C$58,
  $C$51 &amp; "-" &amp; C$57 &amp; ROWS($C$59:C63),
  ""
)</f>
        <v/>
      </c>
      <c r="D63" s="176" t="str">
        <f>IF(
  ROWS($D$59:D63)&lt;= $D$58,
  $C$51 &amp; "-" &amp; D$57 &amp; ROWS($D$59:D63),
  ""
)</f>
        <v/>
      </c>
      <c r="E63" s="176" t="str">
        <f>IF(
  ROWS($E$59:E63)&lt;= $E$58,
  $C$51 &amp; "-" &amp; E$57 &amp; ROWS($E$59:E63),
  ""
)</f>
        <v/>
      </c>
      <c r="F63" s="177" t="str">
        <f>IF(
  ROWS($F$59:F63)&lt;= $F$58,
  $C$25 &amp; "-" &amp; F$57 &amp; ROWS($F$59:F63),
  ""
)</f>
        <v/>
      </c>
      <c r="G63" s="86"/>
      <c r="H63" s="103"/>
      <c r="I63" s="63"/>
      <c r="J63" s="63"/>
      <c r="K63" s="64"/>
      <c r="L63" s="63"/>
      <c r="M63" s="63"/>
      <c r="N63" s="63"/>
      <c r="O63" s="63"/>
      <c r="P63" s="63"/>
      <c r="Q63" s="63"/>
      <c r="R63" s="63"/>
      <c r="S63" s="65"/>
      <c r="T63" s="65"/>
      <c r="U63" s="65"/>
      <c r="V63" s="65"/>
      <c r="W63" s="65"/>
      <c r="X63" s="63"/>
      <c r="Y63" s="63"/>
    </row>
    <row r="64" spans="1:25" ht="13.5" hidden="1" thickBot="1" x14ac:dyDescent="0.4">
      <c r="A64" s="102"/>
      <c r="B64" s="232"/>
      <c r="C64" s="178" t="str">
        <f>IF(
  ROWS($C$59:C64)&lt;= $C$58,
  $C$51 &amp; "-" &amp; C$57 &amp; ROWS($C$59:C64),
  ""
)</f>
        <v/>
      </c>
      <c r="D64" s="179" t="str">
        <f>IF(
  ROWS($D$59:D64)&lt;= $D$58,
  $C$51 &amp; "-" &amp; D$57 &amp; ROWS($D$59:D64),
  ""
)</f>
        <v/>
      </c>
      <c r="E64" s="179" t="str">
        <f>IF(
  ROWS($E$59:E64)&lt;= $E$58,
  $C$51 &amp; "-" &amp; E$57 &amp; ROWS($E$59:E64),
  ""
)</f>
        <v/>
      </c>
      <c r="F64" s="180" t="str">
        <f>IF(
  ROWS($F$59:F64)&lt;= $F$58,
  $C$25 &amp; "-" &amp; F$57 &amp; ROWS($F$59:F64),
  ""
)</f>
        <v/>
      </c>
      <c r="G64" s="86"/>
      <c r="H64" s="103"/>
      <c r="I64" s="63"/>
      <c r="J64" s="63"/>
      <c r="K64" s="64"/>
      <c r="L64" s="63"/>
      <c r="M64" s="63"/>
      <c r="N64" s="63"/>
      <c r="O64" s="63"/>
      <c r="P64" s="63"/>
      <c r="Q64" s="63"/>
      <c r="R64" s="63"/>
      <c r="S64" s="65"/>
      <c r="T64" s="65"/>
      <c r="U64" s="65"/>
      <c r="V64" s="65"/>
      <c r="W64" s="65"/>
      <c r="X64" s="63"/>
      <c r="Y64" s="63"/>
    </row>
    <row r="65" spans="1:25" hidden="1" x14ac:dyDescent="0.35">
      <c r="A65" s="102"/>
      <c r="B65" s="84" t="s">
        <v>119</v>
      </c>
      <c r="C65" s="23"/>
      <c r="D65" s="85"/>
      <c r="E65" s="85"/>
      <c r="F65" s="85"/>
      <c r="G65" s="86"/>
      <c r="H65" s="103"/>
      <c r="I65" s="63"/>
      <c r="J65" s="63"/>
      <c r="K65" s="64"/>
      <c r="L65" s="63"/>
      <c r="M65" s="63"/>
      <c r="N65" s="63"/>
      <c r="O65" s="63"/>
      <c r="P65" s="63"/>
      <c r="Q65" s="63"/>
      <c r="R65" s="63"/>
      <c r="S65" s="65"/>
      <c r="T65" s="65"/>
      <c r="U65" s="65"/>
      <c r="V65" s="65"/>
      <c r="W65" s="65"/>
      <c r="X65" s="63"/>
      <c r="Y65" s="63"/>
    </row>
    <row r="66" spans="1:25" hidden="1" x14ac:dyDescent="0.35">
      <c r="A66" s="102"/>
      <c r="B66" s="84" t="s">
        <v>120</v>
      </c>
      <c r="C66" s="19" t="b">
        <f>IF(OR(C52="WTI", C52="LDC"),FALSE,TRUE)</f>
        <v>1</v>
      </c>
      <c r="D66" s="21">
        <v>200</v>
      </c>
      <c r="E66" s="85"/>
      <c r="F66" s="85"/>
      <c r="G66" s="86"/>
      <c r="H66" s="103"/>
      <c r="I66" s="63"/>
      <c r="J66" s="63"/>
      <c r="K66" s="64"/>
      <c r="L66" s="63"/>
      <c r="M66" s="63"/>
      <c r="N66" s="63"/>
      <c r="O66" s="63"/>
      <c r="P66" s="63"/>
      <c r="Q66" s="63"/>
      <c r="R66" s="63"/>
      <c r="S66" s="65"/>
      <c r="T66" s="65"/>
      <c r="U66" s="65"/>
      <c r="V66" s="65"/>
      <c r="W66" s="65"/>
      <c r="X66" s="63"/>
      <c r="Y66" s="63"/>
    </row>
    <row r="67" spans="1:25" hidden="1" x14ac:dyDescent="0.35">
      <c r="A67" s="102"/>
      <c r="B67" s="84" t="s">
        <v>121</v>
      </c>
      <c r="C67" s="19" t="b">
        <f>IF(OR(C52="WTI", C52="LDC"),FALSE,TRUE)</f>
        <v>1</v>
      </c>
      <c r="D67" s="21" t="s">
        <v>144</v>
      </c>
      <c r="E67" s="85"/>
      <c r="F67" s="85"/>
      <c r="G67" s="86"/>
      <c r="H67" s="103"/>
      <c r="I67" s="63"/>
      <c r="J67" s="63"/>
      <c r="K67" s="64"/>
      <c r="L67" s="63"/>
      <c r="M67" s="63"/>
      <c r="N67" s="63"/>
      <c r="O67" s="63"/>
      <c r="P67" s="63"/>
      <c r="Q67" s="63"/>
      <c r="R67" s="63"/>
      <c r="S67" s="65"/>
      <c r="T67" s="65"/>
      <c r="U67" s="65"/>
      <c r="V67" s="65"/>
      <c r="W67" s="65"/>
      <c r="X67" s="63"/>
      <c r="Y67" s="63"/>
    </row>
    <row r="68" spans="1:25" hidden="1" x14ac:dyDescent="0.35">
      <c r="A68" s="102"/>
      <c r="B68" s="84" t="str">
        <f>IF(C66=TRUE, "Ratio Type", "")</f>
        <v>Ratio Type</v>
      </c>
      <c r="C68" s="14" t="s">
        <v>29</v>
      </c>
      <c r="D68" s="85"/>
      <c r="E68" s="85"/>
      <c r="F68" s="85"/>
      <c r="G68" s="86"/>
      <c r="H68" s="103"/>
      <c r="I68" s="63"/>
      <c r="J68" s="63"/>
      <c r="K68" s="64"/>
      <c r="L68" s="63"/>
      <c r="M68" s="63"/>
      <c r="N68" s="63"/>
      <c r="O68" s="63"/>
      <c r="P68" s="63"/>
      <c r="Q68" s="63"/>
      <c r="R68" s="63"/>
      <c r="S68" s="65"/>
      <c r="T68" s="65"/>
      <c r="U68" s="65"/>
      <c r="V68" s="65"/>
      <c r="W68" s="65"/>
      <c r="X68" s="63"/>
      <c r="Y68" s="63"/>
    </row>
    <row r="69" spans="1:25" hidden="1" x14ac:dyDescent="0.35">
      <c r="A69" s="102"/>
      <c r="B69" s="89" t="s">
        <v>91</v>
      </c>
      <c r="C69" s="20">
        <v>2</v>
      </c>
      <c r="D69" s="85"/>
      <c r="E69" s="85"/>
      <c r="F69" s="85"/>
      <c r="G69" s="86"/>
      <c r="H69" s="103"/>
      <c r="I69" s="63"/>
      <c r="J69" s="63"/>
      <c r="K69" s="64"/>
      <c r="L69" s="63"/>
      <c r="M69" s="63"/>
      <c r="N69" s="63"/>
      <c r="O69" s="63"/>
      <c r="P69" s="63"/>
      <c r="Q69" s="63"/>
      <c r="R69" s="63"/>
      <c r="S69" s="65"/>
      <c r="T69" s="65"/>
      <c r="U69" s="65"/>
      <c r="V69" s="65"/>
      <c r="W69" s="65"/>
      <c r="X69" s="63"/>
      <c r="Y69" s="63"/>
    </row>
    <row r="70" spans="1:25" hidden="1" x14ac:dyDescent="0.35">
      <c r="A70" s="102"/>
      <c r="B70" s="233" t="s">
        <v>96</v>
      </c>
      <c r="C70" s="234" t="s">
        <v>103</v>
      </c>
      <c r="D70" s="234"/>
      <c r="E70" s="234"/>
      <c r="F70" s="234"/>
      <c r="G70" s="86"/>
      <c r="H70" s="103"/>
      <c r="I70" s="63"/>
      <c r="J70" s="63"/>
      <c r="K70" s="64"/>
      <c r="L70" s="63"/>
      <c r="M70" s="63"/>
      <c r="N70" s="63"/>
      <c r="O70" s="63"/>
      <c r="P70" s="63"/>
      <c r="Q70" s="63"/>
      <c r="R70" s="63"/>
      <c r="S70" s="65"/>
      <c r="T70" s="65"/>
      <c r="U70" s="65"/>
      <c r="V70" s="65"/>
      <c r="W70" s="65"/>
      <c r="X70" s="63"/>
      <c r="Y70" s="63"/>
    </row>
    <row r="71" spans="1:25" hidden="1" x14ac:dyDescent="0.35">
      <c r="A71" s="102"/>
      <c r="B71" s="233"/>
      <c r="C71" s="234"/>
      <c r="D71" s="234"/>
      <c r="E71" s="234"/>
      <c r="F71" s="234"/>
      <c r="G71" s="86"/>
      <c r="H71" s="103"/>
      <c r="I71" s="63"/>
      <c r="J71" s="63"/>
      <c r="K71" s="64"/>
      <c r="L71" s="63"/>
      <c r="M71" s="63"/>
      <c r="N71" s="63"/>
      <c r="O71" s="63"/>
      <c r="P71" s="63"/>
      <c r="Q71" s="63"/>
      <c r="R71" s="63"/>
      <c r="S71" s="65"/>
      <c r="T71" s="65"/>
      <c r="U71" s="65"/>
      <c r="V71" s="65"/>
      <c r="W71" s="65"/>
      <c r="X71" s="63"/>
      <c r="Y71" s="63"/>
    </row>
    <row r="72" spans="1:25" hidden="1" x14ac:dyDescent="0.35">
      <c r="A72" s="102"/>
      <c r="B72" s="90"/>
      <c r="C72" s="85"/>
      <c r="D72" s="85"/>
      <c r="E72" s="85"/>
      <c r="F72" s="85"/>
      <c r="G72" s="86"/>
      <c r="H72" s="103"/>
      <c r="I72" s="63"/>
      <c r="J72" s="63"/>
      <c r="K72" s="64"/>
      <c r="L72" s="63"/>
      <c r="M72" s="63"/>
      <c r="N72" s="63"/>
      <c r="O72" s="63"/>
      <c r="P72" s="63"/>
      <c r="Q72" s="63"/>
      <c r="R72" s="63"/>
      <c r="S72" s="65"/>
      <c r="T72" s="65"/>
      <c r="U72" s="65"/>
      <c r="V72" s="65"/>
      <c r="W72" s="65"/>
      <c r="X72" s="63"/>
      <c r="Y72" s="63"/>
    </row>
    <row r="73" spans="1:25" ht="13.5" hidden="1" thickBot="1" x14ac:dyDescent="0.4">
      <c r="A73" s="102"/>
      <c r="B73" s="91"/>
      <c r="C73" s="92"/>
      <c r="D73" s="92"/>
      <c r="E73" s="92"/>
      <c r="F73" s="92"/>
      <c r="G73" s="98"/>
      <c r="H73" s="103"/>
      <c r="I73" s="63"/>
      <c r="J73" s="63"/>
      <c r="K73" s="64"/>
      <c r="L73" s="63"/>
      <c r="M73" s="63"/>
      <c r="N73" s="63"/>
      <c r="O73" s="63"/>
      <c r="P73" s="63"/>
      <c r="Q73" s="63"/>
      <c r="R73" s="63"/>
      <c r="S73" s="65"/>
      <c r="T73" s="65"/>
      <c r="U73" s="65"/>
      <c r="V73" s="65"/>
      <c r="W73" s="65"/>
      <c r="X73" s="63"/>
      <c r="Y73" s="63"/>
    </row>
    <row r="74" spans="1:25" ht="13.5" hidden="1" thickBot="1" x14ac:dyDescent="0.4">
      <c r="A74" s="102"/>
      <c r="B74" s="102"/>
      <c r="C74" s="103"/>
      <c r="D74" s="103"/>
      <c r="E74" s="103"/>
      <c r="F74" s="103"/>
      <c r="G74" s="102"/>
      <c r="H74" s="103"/>
      <c r="I74" s="63"/>
      <c r="J74" s="63"/>
      <c r="K74" s="64"/>
      <c r="L74" s="63"/>
      <c r="M74" s="63"/>
      <c r="N74" s="63"/>
      <c r="O74" s="63"/>
      <c r="P74" s="63"/>
      <c r="Q74" s="63"/>
      <c r="R74" s="63"/>
      <c r="S74" s="65"/>
      <c r="T74" s="65"/>
      <c r="U74" s="65"/>
      <c r="V74" s="65"/>
      <c r="W74" s="65"/>
      <c r="X74" s="63"/>
      <c r="Y74" s="63"/>
    </row>
    <row r="75" spans="1:25" hidden="1" x14ac:dyDescent="0.35">
      <c r="A75" s="102"/>
      <c r="B75" s="235" t="s">
        <v>0</v>
      </c>
      <c r="C75" s="214" t="s">
        <v>141</v>
      </c>
      <c r="D75" s="214"/>
      <c r="E75" s="214"/>
      <c r="F75" s="214"/>
      <c r="G75" s="237">
        <v>3</v>
      </c>
      <c r="H75" s="103"/>
      <c r="I75" s="63"/>
      <c r="J75" s="63"/>
      <c r="K75" s="64"/>
      <c r="L75" s="63"/>
      <c r="M75" s="63"/>
      <c r="N75" s="63"/>
      <c r="O75" s="63"/>
      <c r="P75" s="63"/>
      <c r="Q75" s="63"/>
      <c r="R75" s="63"/>
      <c r="S75" s="65"/>
      <c r="T75" s="65"/>
      <c r="U75" s="65"/>
      <c r="V75" s="65"/>
      <c r="W75" s="65"/>
      <c r="X75" s="63"/>
      <c r="Y75" s="63"/>
    </row>
    <row r="76" spans="1:25" hidden="1" x14ac:dyDescent="0.35">
      <c r="A76" s="102"/>
      <c r="B76" s="236"/>
      <c r="C76" s="215"/>
      <c r="D76" s="215"/>
      <c r="E76" s="215"/>
      <c r="F76" s="215"/>
      <c r="G76" s="238"/>
      <c r="H76" s="103"/>
      <c r="I76" s="63"/>
      <c r="J76" s="63"/>
      <c r="K76" s="64"/>
      <c r="L76" s="63"/>
      <c r="M76" s="63"/>
      <c r="N76" s="63"/>
      <c r="O76" s="63"/>
      <c r="P76" s="63"/>
      <c r="Q76" s="63"/>
      <c r="R76" s="63"/>
      <c r="S76" s="65"/>
      <c r="T76" s="65"/>
      <c r="U76" s="65"/>
      <c r="V76" s="65"/>
      <c r="W76" s="65"/>
      <c r="X76" s="63"/>
      <c r="Y76" s="63"/>
    </row>
    <row r="77" spans="1:25" hidden="1" x14ac:dyDescent="0.35">
      <c r="A77" s="102"/>
      <c r="B77" s="84" t="s">
        <v>82</v>
      </c>
      <c r="C77" s="24" t="s">
        <v>168</v>
      </c>
      <c r="D77" s="85"/>
      <c r="E77" s="85"/>
      <c r="F77" s="85"/>
      <c r="G77" s="86"/>
      <c r="H77" s="103"/>
      <c r="I77" s="63"/>
      <c r="J77" s="63"/>
      <c r="K77" s="64"/>
      <c r="L77" s="63"/>
      <c r="M77" s="63"/>
      <c r="N77" s="63"/>
      <c r="O77" s="63"/>
      <c r="P77" s="63"/>
      <c r="Q77" s="63"/>
      <c r="R77" s="63"/>
      <c r="S77" s="65"/>
      <c r="T77" s="65"/>
      <c r="U77" s="65"/>
      <c r="V77" s="65"/>
      <c r="W77" s="65"/>
      <c r="X77" s="63"/>
      <c r="Y77" s="63"/>
    </row>
    <row r="78" spans="1:25" hidden="1" x14ac:dyDescent="0.35">
      <c r="A78" s="102"/>
      <c r="B78" s="84" t="s">
        <v>9</v>
      </c>
      <c r="C78" s="16" t="s">
        <v>4</v>
      </c>
      <c r="D78" s="85"/>
      <c r="E78" s="85" t="str">
        <f>IF(OR(C78="WTI", C78="LDC"),"CT Accuracy", "")</f>
        <v>CT Accuracy</v>
      </c>
      <c r="F78" s="14" t="s">
        <v>80</v>
      </c>
      <c r="G78" s="86"/>
      <c r="H78" s="103"/>
      <c r="I78" s="63"/>
      <c r="J78" s="63"/>
      <c r="K78" s="64"/>
      <c r="L78" s="63"/>
      <c r="M78" s="63"/>
      <c r="N78" s="63"/>
      <c r="O78" s="63"/>
      <c r="P78" s="63"/>
      <c r="Q78" s="63"/>
      <c r="R78" s="63"/>
      <c r="S78" s="65"/>
      <c r="T78" s="65"/>
      <c r="U78" s="65"/>
      <c r="V78" s="65"/>
      <c r="W78" s="65"/>
      <c r="X78" s="63"/>
      <c r="Y78" s="63"/>
    </row>
    <row r="79" spans="1:25" hidden="1" x14ac:dyDescent="0.35">
      <c r="A79" s="102"/>
      <c r="B79" s="84" t="s">
        <v>10</v>
      </c>
      <c r="C79" s="16" t="s">
        <v>18</v>
      </c>
      <c r="D79" s="85"/>
      <c r="E79" s="85"/>
      <c r="F79" s="85"/>
      <c r="G79" s="86"/>
      <c r="H79" s="103"/>
      <c r="I79" s="63"/>
      <c r="J79" s="63"/>
      <c r="K79" s="64"/>
      <c r="L79" s="63"/>
      <c r="M79" s="63"/>
      <c r="N79" s="63"/>
      <c r="O79" s="63"/>
      <c r="P79" s="63"/>
      <c r="Q79" s="63"/>
      <c r="R79" s="63"/>
      <c r="S79" s="65"/>
      <c r="T79" s="65"/>
      <c r="U79" s="65"/>
      <c r="V79" s="65"/>
      <c r="W79" s="65"/>
      <c r="X79" s="63"/>
      <c r="Y79" s="63"/>
    </row>
    <row r="80" spans="1:25" hidden="1" x14ac:dyDescent="0.35">
      <c r="A80" s="102"/>
      <c r="B80" s="84" t="s">
        <v>90</v>
      </c>
      <c r="C80" s="17">
        <v>4</v>
      </c>
      <c r="D80" s="85"/>
      <c r="E80" s="85"/>
      <c r="F80" s="85"/>
      <c r="G80" s="86"/>
      <c r="H80" s="103"/>
      <c r="I80" s="63"/>
      <c r="J80" s="63"/>
      <c r="K80" s="64"/>
      <c r="L80" s="63"/>
      <c r="M80" s="63"/>
      <c r="N80" s="63"/>
      <c r="O80" s="63"/>
      <c r="P80" s="63"/>
      <c r="Q80" s="63"/>
      <c r="R80" s="63"/>
      <c r="S80" s="65"/>
      <c r="T80" s="65"/>
      <c r="U80" s="65"/>
      <c r="V80" s="65"/>
      <c r="W80" s="65"/>
      <c r="X80" s="63"/>
      <c r="Y80" s="63"/>
    </row>
    <row r="81" spans="1:25" hidden="1" x14ac:dyDescent="0.35">
      <c r="A81" s="102"/>
      <c r="B81" s="84" t="s">
        <v>2</v>
      </c>
      <c r="C81" s="14" t="s">
        <v>26</v>
      </c>
      <c r="D81" s="85"/>
      <c r="E81" s="85"/>
      <c r="F81" s="85"/>
      <c r="G81" s="86"/>
      <c r="H81" s="103"/>
      <c r="I81" s="63"/>
      <c r="J81" s="63"/>
      <c r="K81" s="64"/>
      <c r="L81" s="63"/>
      <c r="M81" s="63"/>
      <c r="N81" s="63"/>
      <c r="O81" s="63"/>
      <c r="P81" s="63"/>
      <c r="Q81" s="63"/>
      <c r="R81" s="63"/>
      <c r="S81" s="65"/>
      <c r="T81" s="65"/>
      <c r="U81" s="65"/>
      <c r="V81" s="65"/>
      <c r="W81" s="65"/>
      <c r="X81" s="63"/>
      <c r="Y81" s="63"/>
    </row>
    <row r="82" spans="1:25" ht="13.5" hidden="1" thickBot="1" x14ac:dyDescent="0.4">
      <c r="A82" s="102"/>
      <c r="B82" s="84" t="s">
        <v>3</v>
      </c>
      <c r="C82" s="31" t="s">
        <v>14</v>
      </c>
      <c r="D82" s="85"/>
      <c r="E82" s="85"/>
      <c r="F82" s="85"/>
      <c r="G82" s="86"/>
      <c r="H82" s="103"/>
      <c r="I82" s="63"/>
      <c r="J82" s="63"/>
      <c r="K82" s="64"/>
      <c r="L82" s="63"/>
      <c r="M82" s="63"/>
      <c r="N82" s="63"/>
      <c r="O82" s="63"/>
      <c r="P82" s="63"/>
      <c r="Q82" s="63"/>
      <c r="R82" s="63"/>
      <c r="S82" s="65"/>
      <c r="T82" s="65"/>
      <c r="U82" s="65"/>
      <c r="V82" s="65"/>
      <c r="W82" s="65"/>
      <c r="X82" s="63"/>
      <c r="Y82" s="63"/>
    </row>
    <row r="83" spans="1:25" hidden="1" x14ac:dyDescent="0.35">
      <c r="A83" s="102"/>
      <c r="B83" s="87" t="s">
        <v>85</v>
      </c>
      <c r="C83" s="32" t="s">
        <v>155</v>
      </c>
      <c r="D83" s="33" t="s">
        <v>157</v>
      </c>
      <c r="E83" s="33" t="s">
        <v>159</v>
      </c>
      <c r="F83" s="34" t="s">
        <v>161</v>
      </c>
      <c r="G83" s="86"/>
      <c r="H83" s="103"/>
      <c r="I83" s="63"/>
      <c r="J83" s="63"/>
      <c r="K83" s="64"/>
      <c r="L83" s="63"/>
      <c r="M83" s="63"/>
      <c r="N83" s="63"/>
      <c r="O83" s="63"/>
      <c r="P83" s="63"/>
      <c r="Q83" s="63"/>
      <c r="R83" s="63"/>
      <c r="S83" s="65"/>
      <c r="T83" s="65"/>
      <c r="U83" s="65"/>
      <c r="V83" s="65"/>
      <c r="W83" s="65"/>
      <c r="X83" s="63"/>
      <c r="Y83" s="63"/>
    </row>
    <row r="84" spans="1:25" hidden="1" x14ac:dyDescent="0.35">
      <c r="A84" s="102"/>
      <c r="B84" s="87" t="s">
        <v>84</v>
      </c>
      <c r="C84" s="35">
        <v>0</v>
      </c>
      <c r="D84" s="14">
        <v>0</v>
      </c>
      <c r="E84" s="14">
        <v>0</v>
      </c>
      <c r="F84" s="36">
        <v>0</v>
      </c>
      <c r="G84" s="86"/>
      <c r="H84" s="103"/>
      <c r="I84" s="63"/>
      <c r="J84" s="63"/>
      <c r="K84" s="64"/>
      <c r="L84" s="63"/>
      <c r="M84" s="63"/>
      <c r="N84" s="63"/>
      <c r="O84" s="63"/>
      <c r="P84" s="63"/>
      <c r="Q84" s="63"/>
      <c r="R84" s="63"/>
      <c r="S84" s="65"/>
      <c r="T84" s="65"/>
      <c r="U84" s="65"/>
      <c r="V84" s="65"/>
      <c r="W84" s="65"/>
      <c r="X84" s="63"/>
      <c r="Y84" s="63"/>
    </row>
    <row r="85" spans="1:25" hidden="1" x14ac:dyDescent="0.35">
      <c r="A85" s="102"/>
      <c r="B85" s="232" t="s">
        <v>86</v>
      </c>
      <c r="C85" s="181" t="str">
        <f>IF(
  ROWS($C$85:C85)&lt;= $C$84,
  $C$77 &amp; "-" &amp; C$83 &amp; ROWS($C$85:C85),
  ""
)</f>
        <v/>
      </c>
      <c r="D85" s="182" t="str">
        <f>IF(
  ROWS($D$85:D85)&lt;= $D$84,
  $C$77 &amp; "-" &amp; D$83 &amp; ROWS($D$85:D85),
  ""
)</f>
        <v/>
      </c>
      <c r="E85" s="182" t="str">
        <f>IF(
  ROWS($E$85:E85)&lt;= $E$84,
  $C$77 &amp; "-" &amp; E$83 &amp; ROWS($E$85:E85),
  ""
)</f>
        <v/>
      </c>
      <c r="F85" s="183" t="str">
        <f>IF(
  ROWS($F$85:F85)&lt;= $F$84,
  $C$77 &amp; "-" &amp; F$83 &amp; ROWS($F$85:F85),
  ""
)</f>
        <v/>
      </c>
      <c r="G85" s="86"/>
      <c r="H85" s="103"/>
      <c r="I85" s="63"/>
      <c r="J85" s="63"/>
      <c r="K85" s="64"/>
      <c r="L85" s="63"/>
      <c r="M85" s="63"/>
      <c r="N85" s="63"/>
      <c r="O85" s="63"/>
      <c r="P85" s="63"/>
      <c r="Q85" s="63"/>
      <c r="R85" s="63"/>
      <c r="S85" s="65"/>
      <c r="T85" s="65"/>
      <c r="U85" s="65"/>
      <c r="V85" s="65"/>
      <c r="W85" s="65"/>
      <c r="X85" s="63"/>
      <c r="Y85" s="63"/>
    </row>
    <row r="86" spans="1:25" hidden="1" x14ac:dyDescent="0.35">
      <c r="A86" s="102"/>
      <c r="B86" s="232"/>
      <c r="C86" s="181" t="str">
        <f>IF(
  ROWS($C$85:C86)&lt;= $C$84,
  $C$77 &amp; "-" &amp; C$83 &amp; ROWS($C$85:C86),
  ""
)</f>
        <v/>
      </c>
      <c r="D86" s="182" t="str">
        <f>IF(
  ROWS($D$85:D86)&lt;= $D$84,
  $C$77 &amp; "-" &amp; D$83 &amp; ROWS($D$85:D86),
  ""
)</f>
        <v/>
      </c>
      <c r="E86" s="182" t="str">
        <f>IF(
  ROWS($E$85:E86)&lt;= $E$84,
  $C$77 &amp; "-" &amp; E$83 &amp; ROWS($E$85:E86),
  ""
)</f>
        <v/>
      </c>
      <c r="F86" s="183" t="str">
        <f>IF(
  ROWS($F$85:F86)&lt;= $F$84,
  $C$77 &amp; "-" &amp; F$83 &amp; ROWS($F$85:F86),
  ""
)</f>
        <v/>
      </c>
      <c r="G86" s="86"/>
      <c r="H86" s="103"/>
      <c r="I86" s="63"/>
      <c r="J86" s="63"/>
      <c r="K86" s="64"/>
      <c r="L86" s="63"/>
      <c r="M86" s="63"/>
      <c r="N86" s="63"/>
      <c r="O86" s="63"/>
      <c r="P86" s="63"/>
      <c r="Q86" s="63"/>
      <c r="R86" s="63"/>
      <c r="S86" s="65"/>
      <c r="T86" s="65"/>
      <c r="U86" s="65"/>
      <c r="V86" s="65"/>
      <c r="W86" s="65"/>
      <c r="X86" s="63"/>
      <c r="Y86" s="63"/>
    </row>
    <row r="87" spans="1:25" hidden="1" x14ac:dyDescent="0.35">
      <c r="A87" s="102"/>
      <c r="B87" s="232"/>
      <c r="C87" s="181" t="str">
        <f>IF(
  ROWS($C$85:C87)&lt;= $C$84,
  $C$77 &amp; "-" &amp; C$83 &amp; ROWS($C$85:C87),
  ""
)</f>
        <v/>
      </c>
      <c r="D87" s="182" t="str">
        <f>IF(
  ROWS($D$85:D87)&lt;= $D$84,
  $C$77 &amp; "-" &amp; D$83 &amp; ROWS($D$85:D87),
  ""
)</f>
        <v/>
      </c>
      <c r="E87" s="182" t="str">
        <f>IF(
  ROWS($E$85:E87)&lt;= $E$84,
  $C$77 &amp; "-" &amp; E$83 &amp; ROWS($E$85:E87),
  ""
)</f>
        <v/>
      </c>
      <c r="F87" s="183" t="str">
        <f>IF(
  ROWS($F$85:F87)&lt;= $F$84,
  $C$77 &amp; "-" &amp; F$83 &amp; ROWS($F$85:F87),
  ""
)</f>
        <v/>
      </c>
      <c r="G87" s="86"/>
      <c r="H87" s="103"/>
      <c r="I87" s="63"/>
      <c r="J87" s="63"/>
      <c r="K87" s="64"/>
      <c r="L87" s="63"/>
      <c r="M87" s="63"/>
      <c r="N87" s="63"/>
      <c r="O87" s="63"/>
      <c r="P87" s="63"/>
      <c r="Q87" s="63"/>
      <c r="R87" s="63"/>
      <c r="S87" s="65"/>
      <c r="T87" s="65"/>
      <c r="U87" s="65"/>
      <c r="V87" s="65"/>
      <c r="W87" s="65"/>
      <c r="X87" s="63"/>
      <c r="Y87" s="63"/>
    </row>
    <row r="88" spans="1:25" hidden="1" x14ac:dyDescent="0.35">
      <c r="A88" s="102"/>
      <c r="B88" s="232"/>
      <c r="C88" s="181" t="str">
        <f>IF(
  ROWS($C$85:C88)&lt;= $C$84,
  $C$77 &amp; "-" &amp; C$83 &amp; ROWS($C$85:C88),
  ""
)</f>
        <v/>
      </c>
      <c r="D88" s="182" t="str">
        <f>IF(
  ROWS($D$85:D88)&lt;= $D$84,
  $C$77 &amp; "-" &amp; D$83 &amp; ROWS($D$85:D88),
  ""
)</f>
        <v/>
      </c>
      <c r="E88" s="182" t="str">
        <f>IF(
  ROWS($E$85:E88)&lt;= $E$84,
  $C$77 &amp; "-" &amp; E$83 &amp; ROWS($E$85:E88),
  ""
)</f>
        <v/>
      </c>
      <c r="F88" s="183" t="str">
        <f>IF(
  ROWS($F$85:F88)&lt;= $F$84,
  $C$77 &amp; "-" &amp; F$83 &amp; ROWS($F$85:F88),
  ""
)</f>
        <v/>
      </c>
      <c r="G88" s="86"/>
      <c r="H88" s="103"/>
      <c r="I88" s="63"/>
      <c r="J88" s="63"/>
      <c r="K88" s="64"/>
      <c r="L88" s="63"/>
      <c r="M88" s="63"/>
      <c r="N88" s="63"/>
      <c r="O88" s="63"/>
      <c r="P88" s="63"/>
      <c r="Q88" s="63"/>
      <c r="R88" s="63"/>
      <c r="S88" s="65"/>
      <c r="T88" s="65"/>
      <c r="U88" s="65"/>
      <c r="V88" s="65"/>
      <c r="W88" s="65"/>
      <c r="X88" s="63"/>
      <c r="Y88" s="63"/>
    </row>
    <row r="89" spans="1:25" hidden="1" x14ac:dyDescent="0.35">
      <c r="A89" s="102"/>
      <c r="B89" s="232"/>
      <c r="C89" s="181" t="str">
        <f>IF(
  ROWS($C$85:C89)&lt;= $C$84,
  $C$77 &amp; "-" &amp; C$83 &amp; ROWS($C$85:C89),
  ""
)</f>
        <v/>
      </c>
      <c r="D89" s="182" t="str">
        <f>IF(
  ROWS($D$85:D89)&lt;= $D$84,
  $C$77 &amp; "-" &amp; D$83 &amp; ROWS($D$85:D89),
  ""
)</f>
        <v/>
      </c>
      <c r="E89" s="182" t="str">
        <f>IF(
  ROWS($E$85:E89)&lt;= $E$84,
  $C$77 &amp; "-" &amp; E$83 &amp; ROWS($E$85:E89),
  ""
)</f>
        <v/>
      </c>
      <c r="F89" s="183" t="str">
        <f>IF(
  ROWS($F$85:F89)&lt;= $F$84,
  $C$77 &amp; "-" &amp; F$83 &amp; ROWS($F$85:F89),
  ""
)</f>
        <v/>
      </c>
      <c r="G89" s="86"/>
      <c r="H89" s="103"/>
      <c r="I89" s="63"/>
      <c r="J89" s="63"/>
      <c r="K89" s="64"/>
      <c r="L89" s="63"/>
      <c r="M89" s="63"/>
      <c r="N89" s="63"/>
      <c r="O89" s="63"/>
      <c r="P89" s="63"/>
      <c r="Q89" s="63"/>
      <c r="R89" s="63"/>
      <c r="S89" s="65"/>
      <c r="T89" s="65"/>
      <c r="U89" s="65"/>
      <c r="V89" s="65"/>
      <c r="W89" s="65"/>
      <c r="X89" s="63"/>
      <c r="Y89" s="63"/>
    </row>
    <row r="90" spans="1:25" hidden="1" x14ac:dyDescent="0.35">
      <c r="A90" s="102"/>
      <c r="B90" s="232"/>
      <c r="C90" s="181" t="str">
        <f>IF(
  ROWS($C$85:C90)&lt;= $C$84,
  $C$77 &amp; "-" &amp; C$83 &amp; ROWS($C$85:C90),
  ""
)</f>
        <v/>
      </c>
      <c r="D90" s="182" t="str">
        <f>IF(
  ROWS($D$85:D90)&lt;= $D$84,
  $C$77 &amp; "-" &amp; D$83 &amp; ROWS($D$85:D90),
  ""
)</f>
        <v/>
      </c>
      <c r="E90" s="182" t="str">
        <f>IF(
  ROWS($E$85:E90)&lt;= $E$84,
  $C$77 &amp; "-" &amp; E$83 &amp; ROWS($E$85:E90),
  ""
)</f>
        <v/>
      </c>
      <c r="F90" s="183" t="str">
        <f>IF(
  ROWS($F$85:F90)&lt;= $F$84,
  $C$77 &amp; "-" &amp; F$83 &amp; ROWS($F$85:F90),
  ""
)</f>
        <v/>
      </c>
      <c r="G90" s="86"/>
      <c r="H90" s="103"/>
      <c r="I90" s="63"/>
      <c r="J90" s="63"/>
      <c r="K90" s="64"/>
      <c r="L90" s="63"/>
      <c r="M90" s="63"/>
      <c r="N90" s="63"/>
      <c r="O90" s="63"/>
      <c r="P90" s="63"/>
      <c r="Q90" s="63"/>
      <c r="R90" s="63"/>
      <c r="S90" s="65"/>
      <c r="T90" s="65"/>
      <c r="U90" s="65"/>
      <c r="V90" s="65"/>
      <c r="W90" s="65"/>
      <c r="X90" s="63"/>
      <c r="Y90" s="63"/>
    </row>
    <row r="91" spans="1:25" hidden="1" x14ac:dyDescent="0.35">
      <c r="A91" s="102"/>
      <c r="B91" s="84" t="s">
        <v>119</v>
      </c>
      <c r="C91" s="23"/>
      <c r="D91" s="85"/>
      <c r="E91" s="85"/>
      <c r="F91" s="85"/>
      <c r="G91" s="86"/>
      <c r="H91" s="103"/>
      <c r="I91" s="63"/>
      <c r="J91" s="63"/>
      <c r="K91" s="64"/>
      <c r="L91" s="63"/>
      <c r="M91" s="63"/>
      <c r="N91" s="63"/>
      <c r="O91" s="63"/>
      <c r="P91" s="63"/>
      <c r="Q91" s="63"/>
      <c r="R91" s="63"/>
      <c r="S91" s="65"/>
      <c r="T91" s="65"/>
      <c r="U91" s="65"/>
      <c r="V91" s="65"/>
      <c r="W91" s="65"/>
      <c r="X91" s="63"/>
      <c r="Y91" s="63"/>
    </row>
    <row r="92" spans="1:25" hidden="1" x14ac:dyDescent="0.35">
      <c r="A92" s="102"/>
      <c r="B92" s="84" t="s">
        <v>120</v>
      </c>
      <c r="C92" s="19" t="b">
        <f>IF(OR(C78="WTI", C78="LDC"),FALSE,TRUE)</f>
        <v>0</v>
      </c>
      <c r="D92" s="21">
        <v>300</v>
      </c>
      <c r="E92" s="85"/>
      <c r="F92" s="85"/>
      <c r="G92" s="86"/>
      <c r="H92" s="103"/>
      <c r="I92" s="63"/>
      <c r="J92" s="63"/>
      <c r="K92" s="64"/>
      <c r="L92" s="63"/>
      <c r="M92" s="63"/>
      <c r="N92" s="63"/>
      <c r="O92" s="63"/>
      <c r="P92" s="63"/>
      <c r="Q92" s="63"/>
      <c r="R92" s="63"/>
      <c r="S92" s="65"/>
      <c r="T92" s="65"/>
      <c r="U92" s="65"/>
      <c r="V92" s="65"/>
      <c r="W92" s="65"/>
      <c r="X92" s="63"/>
      <c r="Y92" s="63"/>
    </row>
    <row r="93" spans="1:25" hidden="1" x14ac:dyDescent="0.35">
      <c r="A93" s="102"/>
      <c r="B93" s="84" t="s">
        <v>121</v>
      </c>
      <c r="C93" s="19" t="b">
        <f>IF(OR(C78="WTI", C78="LDC"),FALSE,TRUE)</f>
        <v>0</v>
      </c>
      <c r="D93" s="21" t="s">
        <v>144</v>
      </c>
      <c r="E93" s="85"/>
      <c r="F93" s="85"/>
      <c r="G93" s="86"/>
      <c r="H93" s="103"/>
      <c r="I93" s="63"/>
      <c r="J93" s="63"/>
      <c r="K93" s="64"/>
      <c r="L93" s="63"/>
      <c r="M93" s="63"/>
      <c r="N93" s="63"/>
      <c r="O93" s="63"/>
      <c r="P93" s="63"/>
      <c r="Q93" s="63"/>
      <c r="R93" s="63"/>
      <c r="S93" s="65"/>
      <c r="T93" s="65"/>
      <c r="U93" s="65"/>
      <c r="V93" s="65"/>
      <c r="W93" s="65"/>
      <c r="X93" s="63"/>
      <c r="Y93" s="63"/>
    </row>
    <row r="94" spans="1:25" hidden="1" x14ac:dyDescent="0.35">
      <c r="A94" s="102"/>
      <c r="B94" s="84" t="str">
        <f>IF(C92=TRUE, "Ratio Type", "")</f>
        <v/>
      </c>
      <c r="C94" s="14" t="s">
        <v>29</v>
      </c>
      <c r="D94" s="85"/>
      <c r="E94" s="85"/>
      <c r="F94" s="85"/>
      <c r="G94" s="86"/>
      <c r="H94" s="103"/>
      <c r="I94" s="63"/>
      <c r="J94" s="63"/>
      <c r="K94" s="64"/>
      <c r="L94" s="63"/>
      <c r="M94" s="63"/>
      <c r="N94" s="63"/>
      <c r="O94" s="63"/>
      <c r="P94" s="63"/>
      <c r="Q94" s="63"/>
      <c r="R94" s="63"/>
      <c r="S94" s="65"/>
      <c r="T94" s="65"/>
      <c r="U94" s="65"/>
      <c r="V94" s="65"/>
      <c r="W94" s="65"/>
      <c r="X94" s="63"/>
      <c r="Y94" s="63"/>
    </row>
    <row r="95" spans="1:25" hidden="1" x14ac:dyDescent="0.35">
      <c r="A95" s="102"/>
      <c r="B95" s="89" t="s">
        <v>91</v>
      </c>
      <c r="C95" s="20">
        <v>2</v>
      </c>
      <c r="D95" s="85"/>
      <c r="E95" s="85"/>
      <c r="F95" s="85"/>
      <c r="G95" s="86"/>
      <c r="H95" s="103"/>
      <c r="I95" s="63"/>
      <c r="J95" s="63"/>
      <c r="K95" s="64"/>
      <c r="L95" s="63"/>
      <c r="M95" s="63"/>
      <c r="N95" s="63"/>
      <c r="O95" s="63"/>
      <c r="P95" s="63"/>
      <c r="Q95" s="63"/>
      <c r="R95" s="63"/>
      <c r="S95" s="65"/>
      <c r="T95" s="65"/>
      <c r="U95" s="65"/>
      <c r="V95" s="65"/>
      <c r="W95" s="65"/>
      <c r="X95" s="63"/>
      <c r="Y95" s="63"/>
    </row>
    <row r="96" spans="1:25" hidden="1" x14ac:dyDescent="0.35">
      <c r="A96" s="102"/>
      <c r="B96" s="233" t="s">
        <v>96</v>
      </c>
      <c r="C96" s="234" t="s">
        <v>103</v>
      </c>
      <c r="D96" s="234"/>
      <c r="E96" s="234"/>
      <c r="F96" s="234"/>
      <c r="G96" s="86"/>
      <c r="H96" s="103"/>
      <c r="I96" s="63"/>
      <c r="J96" s="63"/>
      <c r="K96" s="64"/>
      <c r="L96" s="63"/>
      <c r="M96" s="63"/>
      <c r="N96" s="63"/>
      <c r="O96" s="63"/>
      <c r="P96" s="63"/>
      <c r="Q96" s="63"/>
      <c r="R96" s="63"/>
      <c r="S96" s="65"/>
      <c r="T96" s="65"/>
      <c r="U96" s="65"/>
      <c r="V96" s="65"/>
      <c r="W96" s="65"/>
      <c r="X96" s="63"/>
      <c r="Y96" s="63"/>
    </row>
    <row r="97" spans="1:25" hidden="1" x14ac:dyDescent="0.35">
      <c r="A97" s="102"/>
      <c r="B97" s="233"/>
      <c r="C97" s="234"/>
      <c r="D97" s="234"/>
      <c r="E97" s="234"/>
      <c r="F97" s="234"/>
      <c r="G97" s="86"/>
      <c r="H97" s="103"/>
      <c r="I97" s="63"/>
      <c r="J97" s="63"/>
      <c r="K97" s="64"/>
      <c r="L97" s="63"/>
      <c r="M97" s="63"/>
      <c r="N97" s="63"/>
      <c r="O97" s="63"/>
      <c r="P97" s="63"/>
      <c r="Q97" s="63"/>
      <c r="R97" s="63"/>
      <c r="S97" s="65"/>
      <c r="T97" s="65"/>
      <c r="U97" s="65"/>
      <c r="V97" s="65"/>
      <c r="W97" s="65"/>
      <c r="X97" s="63"/>
      <c r="Y97" s="63"/>
    </row>
    <row r="98" spans="1:25" hidden="1" x14ac:dyDescent="0.35">
      <c r="A98" s="102"/>
      <c r="B98" s="90"/>
      <c r="C98" s="85"/>
      <c r="D98" s="85"/>
      <c r="E98" s="85"/>
      <c r="F98" s="85"/>
      <c r="G98" s="86"/>
      <c r="H98" s="103"/>
      <c r="I98" s="63"/>
      <c r="J98" s="63"/>
      <c r="K98" s="64"/>
      <c r="L98" s="63"/>
      <c r="M98" s="63"/>
      <c r="N98" s="63"/>
      <c r="O98" s="63"/>
      <c r="P98" s="63"/>
      <c r="Q98" s="63"/>
      <c r="R98" s="63"/>
      <c r="S98" s="65"/>
      <c r="T98" s="65"/>
      <c r="U98" s="65"/>
      <c r="V98" s="65"/>
      <c r="W98" s="65"/>
      <c r="X98" s="63"/>
      <c r="Y98" s="63"/>
    </row>
    <row r="99" spans="1:25" ht="13.5" hidden="1" thickBot="1" x14ac:dyDescent="0.4">
      <c r="A99" s="102"/>
      <c r="B99" s="91"/>
      <c r="C99" s="92"/>
      <c r="D99" s="92"/>
      <c r="E99" s="92"/>
      <c r="F99" s="92"/>
      <c r="G99" s="98"/>
      <c r="H99" s="103"/>
      <c r="I99" s="63"/>
      <c r="J99" s="63"/>
      <c r="K99" s="64"/>
      <c r="L99" s="63"/>
      <c r="M99" s="63"/>
      <c r="N99" s="63"/>
      <c r="O99" s="63"/>
      <c r="P99" s="63"/>
      <c r="Q99" s="63"/>
      <c r="R99" s="63"/>
      <c r="S99" s="65"/>
      <c r="T99" s="65"/>
      <c r="U99" s="65"/>
      <c r="V99" s="65"/>
      <c r="W99" s="65"/>
      <c r="X99" s="63"/>
      <c r="Y99" s="63"/>
    </row>
    <row r="100" spans="1:25" hidden="1" x14ac:dyDescent="0.35">
      <c r="A100" s="102"/>
      <c r="B100" s="102"/>
      <c r="C100" s="103"/>
      <c r="D100" s="103"/>
      <c r="E100" s="103"/>
      <c r="F100" s="103"/>
      <c r="G100" s="102"/>
      <c r="H100" s="103"/>
      <c r="I100" s="63"/>
      <c r="J100" s="63"/>
      <c r="K100" s="64"/>
      <c r="L100" s="63"/>
      <c r="M100" s="63"/>
      <c r="N100" s="63"/>
      <c r="O100" s="63"/>
      <c r="P100" s="63"/>
      <c r="Q100" s="63"/>
      <c r="R100" s="63"/>
      <c r="S100" s="65"/>
      <c r="T100" s="65"/>
      <c r="U100" s="65"/>
      <c r="V100" s="65"/>
      <c r="W100" s="65"/>
      <c r="X100" s="63"/>
      <c r="Y100" s="63"/>
    </row>
    <row r="101" spans="1:25" hidden="1" x14ac:dyDescent="0.35">
      <c r="A101" s="102"/>
      <c r="B101" s="235" t="s">
        <v>0</v>
      </c>
      <c r="C101" s="214" t="s">
        <v>141</v>
      </c>
      <c r="D101" s="214"/>
      <c r="E101" s="214"/>
      <c r="F101" s="214"/>
      <c r="G101" s="237">
        <v>4</v>
      </c>
      <c r="H101" s="103"/>
      <c r="I101" s="63"/>
      <c r="J101" s="63"/>
      <c r="K101" s="64"/>
      <c r="L101" s="63"/>
      <c r="M101" s="63"/>
      <c r="N101" s="63"/>
      <c r="O101" s="63"/>
      <c r="P101" s="63"/>
      <c r="Q101" s="63"/>
      <c r="R101" s="63"/>
      <c r="S101" s="65"/>
      <c r="T101" s="65"/>
      <c r="U101" s="65"/>
      <c r="V101" s="65"/>
      <c r="W101" s="65"/>
      <c r="X101" s="63"/>
      <c r="Y101" s="63"/>
    </row>
    <row r="102" spans="1:25" hidden="1" x14ac:dyDescent="0.35">
      <c r="A102" s="102"/>
      <c r="B102" s="236"/>
      <c r="C102" s="215"/>
      <c r="D102" s="215"/>
      <c r="E102" s="215"/>
      <c r="F102" s="215"/>
      <c r="G102" s="238"/>
      <c r="H102" s="103"/>
      <c r="I102" s="63"/>
      <c r="J102" s="63"/>
      <c r="K102" s="64"/>
      <c r="L102" s="63"/>
      <c r="M102" s="63"/>
      <c r="N102" s="63"/>
      <c r="O102" s="63"/>
      <c r="P102" s="63"/>
      <c r="Q102" s="63"/>
      <c r="R102" s="63"/>
      <c r="S102" s="65"/>
      <c r="T102" s="65"/>
      <c r="U102" s="65"/>
      <c r="V102" s="65"/>
      <c r="W102" s="65"/>
      <c r="X102" s="63"/>
      <c r="Y102" s="63"/>
    </row>
    <row r="103" spans="1:25" hidden="1" x14ac:dyDescent="0.35">
      <c r="A103" s="102"/>
      <c r="B103" s="84" t="s">
        <v>82</v>
      </c>
      <c r="C103" s="24" t="s">
        <v>141</v>
      </c>
      <c r="D103" s="85"/>
      <c r="E103" s="85"/>
      <c r="F103" s="85"/>
      <c r="G103" s="86"/>
      <c r="H103" s="103"/>
      <c r="I103" s="63"/>
      <c r="J103" s="63"/>
      <c r="K103" s="64"/>
      <c r="L103" s="63"/>
      <c r="M103" s="63"/>
      <c r="N103" s="63"/>
      <c r="O103" s="63"/>
      <c r="P103" s="63"/>
      <c r="Q103" s="63"/>
      <c r="R103" s="63"/>
      <c r="S103" s="65"/>
      <c r="T103" s="65"/>
      <c r="U103" s="65"/>
      <c r="V103" s="65"/>
      <c r="W103" s="65"/>
      <c r="X103" s="63"/>
      <c r="Y103" s="63"/>
    </row>
    <row r="104" spans="1:25" hidden="1" x14ac:dyDescent="0.35">
      <c r="A104" s="102"/>
      <c r="B104" s="84" t="s">
        <v>9</v>
      </c>
      <c r="C104" s="16" t="s">
        <v>16</v>
      </c>
      <c r="D104" s="85"/>
      <c r="E104" s="85" t="str">
        <f>IF(OR(C104="WTI", C104="LDC"),"CT Accuracy", "")</f>
        <v/>
      </c>
      <c r="F104" s="14"/>
      <c r="G104" s="86"/>
      <c r="H104" s="103"/>
      <c r="I104" s="63"/>
      <c r="J104" s="63"/>
      <c r="K104" s="64"/>
      <c r="L104" s="63"/>
      <c r="M104" s="63"/>
      <c r="N104" s="63"/>
      <c r="O104" s="63"/>
      <c r="P104" s="63"/>
      <c r="Q104" s="63"/>
      <c r="R104" s="63"/>
      <c r="S104" s="65"/>
      <c r="T104" s="65"/>
      <c r="U104" s="65"/>
      <c r="V104" s="65"/>
      <c r="W104" s="65"/>
      <c r="X104" s="63"/>
      <c r="Y104" s="63"/>
    </row>
    <row r="105" spans="1:25" hidden="1" x14ac:dyDescent="0.35">
      <c r="A105" s="102"/>
      <c r="B105" s="84" t="s">
        <v>10</v>
      </c>
      <c r="C105" s="16" t="s">
        <v>18</v>
      </c>
      <c r="D105" s="85"/>
      <c r="E105" s="85"/>
      <c r="F105" s="85"/>
      <c r="G105" s="86"/>
      <c r="H105" s="103"/>
      <c r="I105" s="63"/>
      <c r="J105" s="63"/>
      <c r="K105" s="64"/>
      <c r="L105" s="63"/>
      <c r="M105" s="63"/>
      <c r="N105" s="63"/>
      <c r="O105" s="63"/>
      <c r="P105" s="63"/>
      <c r="Q105" s="63"/>
      <c r="R105" s="63"/>
      <c r="S105" s="65"/>
      <c r="T105" s="65"/>
      <c r="U105" s="65"/>
      <c r="V105" s="65"/>
      <c r="W105" s="65"/>
      <c r="X105" s="63"/>
      <c r="Y105" s="63"/>
    </row>
    <row r="106" spans="1:25" hidden="1" x14ac:dyDescent="0.35">
      <c r="A106" s="102"/>
      <c r="B106" s="84" t="s">
        <v>90</v>
      </c>
      <c r="C106" s="17">
        <v>4</v>
      </c>
      <c r="D106" s="85"/>
      <c r="E106" s="85"/>
      <c r="F106" s="85"/>
      <c r="G106" s="86"/>
      <c r="H106" s="103"/>
      <c r="I106" s="63"/>
      <c r="J106" s="63"/>
      <c r="K106" s="64"/>
      <c r="L106" s="63"/>
      <c r="M106" s="63"/>
      <c r="N106" s="63"/>
      <c r="O106" s="63"/>
      <c r="P106" s="63"/>
      <c r="Q106" s="63"/>
      <c r="R106" s="63"/>
      <c r="S106" s="65"/>
      <c r="T106" s="65"/>
      <c r="U106" s="65"/>
      <c r="V106" s="65"/>
      <c r="W106" s="65"/>
      <c r="X106" s="63"/>
      <c r="Y106" s="63"/>
    </row>
    <row r="107" spans="1:25" hidden="1" x14ac:dyDescent="0.35">
      <c r="A107" s="102"/>
      <c r="B107" s="84" t="s">
        <v>2</v>
      </c>
      <c r="C107" s="14" t="s">
        <v>26</v>
      </c>
      <c r="D107" s="85"/>
      <c r="E107" s="85"/>
      <c r="F107" s="85"/>
      <c r="G107" s="86"/>
      <c r="H107" s="103"/>
      <c r="I107" s="63"/>
      <c r="J107" s="63"/>
      <c r="K107" s="64"/>
      <c r="L107" s="63"/>
      <c r="M107" s="63"/>
      <c r="N107" s="63"/>
      <c r="O107" s="63"/>
      <c r="P107" s="63"/>
      <c r="Q107" s="63"/>
      <c r="R107" s="63"/>
      <c r="S107" s="65"/>
      <c r="T107" s="65"/>
      <c r="U107" s="65"/>
      <c r="V107" s="65"/>
      <c r="W107" s="65"/>
      <c r="X107" s="63"/>
      <c r="Y107" s="63"/>
    </row>
    <row r="108" spans="1:25" hidden="1" x14ac:dyDescent="0.35">
      <c r="A108" s="102"/>
      <c r="B108" s="84" t="s">
        <v>3</v>
      </c>
      <c r="C108" s="31" t="s">
        <v>14</v>
      </c>
      <c r="D108" s="85"/>
      <c r="E108" s="85"/>
      <c r="F108" s="85"/>
      <c r="G108" s="86"/>
      <c r="H108" s="103"/>
      <c r="I108" s="63"/>
      <c r="J108" s="63"/>
      <c r="K108" s="64"/>
      <c r="L108" s="63"/>
      <c r="M108" s="63"/>
      <c r="N108" s="63"/>
      <c r="O108" s="63"/>
      <c r="P108" s="63"/>
      <c r="Q108" s="63"/>
      <c r="R108" s="63"/>
      <c r="S108" s="65"/>
      <c r="T108" s="65"/>
      <c r="U108" s="65"/>
      <c r="V108" s="65"/>
      <c r="W108" s="65"/>
      <c r="X108" s="63"/>
      <c r="Y108" s="63"/>
    </row>
    <row r="109" spans="1:25" hidden="1" x14ac:dyDescent="0.35">
      <c r="A109" s="102"/>
      <c r="B109" s="87" t="s">
        <v>85</v>
      </c>
      <c r="C109" s="22" t="s">
        <v>155</v>
      </c>
      <c r="D109" s="22" t="s">
        <v>157</v>
      </c>
      <c r="E109" s="22" t="s">
        <v>159</v>
      </c>
      <c r="F109" s="22" t="s">
        <v>161</v>
      </c>
      <c r="G109" s="86"/>
      <c r="H109" s="103"/>
      <c r="I109" s="63"/>
      <c r="J109" s="63"/>
      <c r="K109" s="64"/>
      <c r="L109" s="63"/>
      <c r="M109" s="63"/>
      <c r="N109" s="63"/>
      <c r="O109" s="63"/>
      <c r="P109" s="63"/>
      <c r="Q109" s="63"/>
      <c r="R109" s="63"/>
      <c r="S109" s="65"/>
      <c r="T109" s="65"/>
      <c r="U109" s="65"/>
      <c r="V109" s="65"/>
      <c r="W109" s="65"/>
      <c r="X109" s="63"/>
      <c r="Y109" s="63"/>
    </row>
    <row r="110" spans="1:25" hidden="1" x14ac:dyDescent="0.35">
      <c r="A110" s="102"/>
      <c r="B110" s="87" t="s">
        <v>84</v>
      </c>
      <c r="C110" s="14">
        <v>0</v>
      </c>
      <c r="D110" s="14">
        <v>0</v>
      </c>
      <c r="E110" s="14">
        <v>0</v>
      </c>
      <c r="F110" s="14">
        <v>0</v>
      </c>
      <c r="G110" s="86"/>
      <c r="H110" s="103"/>
      <c r="I110" s="63"/>
      <c r="J110" s="63"/>
      <c r="K110" s="64"/>
      <c r="L110" s="63"/>
      <c r="M110" s="63"/>
      <c r="N110" s="63"/>
      <c r="O110" s="63"/>
      <c r="P110" s="63"/>
      <c r="Q110" s="63"/>
      <c r="R110" s="63"/>
      <c r="S110" s="65"/>
      <c r="T110" s="65"/>
      <c r="U110" s="65"/>
      <c r="V110" s="65"/>
      <c r="W110" s="65"/>
      <c r="X110" s="63"/>
      <c r="Y110" s="63"/>
    </row>
    <row r="111" spans="1:25" hidden="1" x14ac:dyDescent="0.35">
      <c r="A111" s="102"/>
      <c r="B111" s="232" t="s">
        <v>86</v>
      </c>
      <c r="C111" s="190" t="str">
        <f>IF(
  ROWS($C$111:C111)&lt;= $C$110,
  $C$103 &amp; "-" &amp; C$109 &amp; ROWS($C$111:C111),
  ""
)</f>
        <v/>
      </c>
      <c r="D111" s="190" t="str">
        <f>IF(
  ROWS($D$111:D111)&lt;= $D$110,
  $C$103 &amp; "-" &amp; D$109 &amp; ROWS($D$111:D111),
  ""
)</f>
        <v/>
      </c>
      <c r="E111" s="190" t="str">
        <f>IF(
  ROWS($E$111:E111)&lt;= $E$110,
  $C$103 &amp; "-" &amp; E$109 &amp; ROWS($E$111:E111),
  ""
)</f>
        <v/>
      </c>
      <c r="F111" s="190" t="str">
        <f>IF(
  ROWS($F$111:F111)&lt;= $F$110,
  $C$103 &amp; "-" &amp; F$109 &amp; ROWS($F$111:F111),
  ""
)</f>
        <v/>
      </c>
      <c r="G111" s="86"/>
      <c r="H111" s="103"/>
      <c r="I111" s="63"/>
      <c r="J111" s="63"/>
      <c r="K111" s="64"/>
      <c r="L111" s="63"/>
      <c r="M111" s="63"/>
      <c r="N111" s="63"/>
      <c r="O111" s="63"/>
      <c r="P111" s="63"/>
      <c r="Q111" s="63"/>
      <c r="R111" s="63"/>
      <c r="S111" s="65"/>
      <c r="T111" s="65"/>
      <c r="U111" s="65"/>
      <c r="V111" s="65"/>
      <c r="W111" s="65"/>
      <c r="X111" s="63"/>
      <c r="Y111" s="63"/>
    </row>
    <row r="112" spans="1:25" hidden="1" x14ac:dyDescent="0.35">
      <c r="A112" s="102"/>
      <c r="B112" s="232"/>
      <c r="C112" s="190" t="str">
        <f>IF(
  ROWS($C$111:C112)&lt;= $C$110,
  $C$103 &amp; "-" &amp; C$109 &amp; ROWS($C$111:C112),
  ""
)</f>
        <v/>
      </c>
      <c r="D112" s="190" t="str">
        <f>IF(
  ROWS($D$111:D112)&lt;= $D$110,
  $C$103 &amp; "-" &amp; D$109 &amp; ROWS($D$111:D112),
  ""
)</f>
        <v/>
      </c>
      <c r="E112" s="190" t="str">
        <f>IF(
  ROWS($E$111:E112)&lt;= $E$110,
  $C$103 &amp; "-" &amp; E$109 &amp; ROWS($E$111:E112),
  ""
)</f>
        <v/>
      </c>
      <c r="F112" s="190" t="str">
        <f>IF(
  ROWS($F$111:F112)&lt;= $F$110,
  $C$103 &amp; "-" &amp; F$109 &amp; ROWS($F$111:F112),
  ""
)</f>
        <v/>
      </c>
      <c r="G112" s="86"/>
      <c r="H112" s="103"/>
      <c r="I112" s="63"/>
      <c r="J112" s="63"/>
      <c r="K112" s="64"/>
      <c r="L112" s="63"/>
      <c r="M112" s="63"/>
      <c r="N112" s="63"/>
      <c r="O112" s="63"/>
      <c r="P112" s="63"/>
      <c r="Q112" s="63"/>
      <c r="R112" s="63"/>
      <c r="S112" s="65"/>
      <c r="T112" s="65"/>
      <c r="U112" s="65"/>
      <c r="V112" s="65"/>
      <c r="W112" s="65"/>
      <c r="X112" s="63"/>
      <c r="Y112" s="63"/>
    </row>
    <row r="113" spans="1:25" hidden="1" x14ac:dyDescent="0.35">
      <c r="A113" s="102"/>
      <c r="B113" s="232"/>
      <c r="C113" s="190" t="str">
        <f>IF(
  ROWS($C$111:C113)&lt;= $C$110,
  $C$103 &amp; "-" &amp; C$109 &amp; ROWS($C$111:C113),
  ""
)</f>
        <v/>
      </c>
      <c r="D113" s="190" t="str">
        <f>IF(
  ROWS($D$111:D113)&lt;= $D$110,
  $C$103 &amp; "-" &amp; D$109 &amp; ROWS($D$111:D113),
  ""
)</f>
        <v/>
      </c>
      <c r="E113" s="190" t="str">
        <f>IF(
  ROWS($E$111:E113)&lt;= $E$110,
  $C$103 &amp; "-" &amp; E$109 &amp; ROWS($E$111:E113),
  ""
)</f>
        <v/>
      </c>
      <c r="F113" s="190" t="str">
        <f>IF(
  ROWS($F$111:F113)&lt;= $F$110,
  $C$103 &amp; "-" &amp; F$109 &amp; ROWS($F$111:F113),
  ""
)</f>
        <v/>
      </c>
      <c r="G113" s="86"/>
      <c r="H113" s="103"/>
      <c r="I113" s="63"/>
      <c r="J113" s="63"/>
      <c r="K113" s="64"/>
      <c r="L113" s="63"/>
      <c r="M113" s="63"/>
      <c r="N113" s="63"/>
      <c r="O113" s="63"/>
      <c r="P113" s="63"/>
      <c r="Q113" s="63"/>
      <c r="R113" s="63"/>
      <c r="S113" s="65"/>
      <c r="T113" s="65"/>
      <c r="U113" s="65"/>
      <c r="V113" s="65"/>
      <c r="W113" s="65"/>
      <c r="X113" s="63"/>
      <c r="Y113" s="63"/>
    </row>
    <row r="114" spans="1:25" hidden="1" x14ac:dyDescent="0.35">
      <c r="A114" s="102"/>
      <c r="B114" s="232"/>
      <c r="C114" s="190" t="str">
        <f>IF(
  ROWS($C$111:C114)&lt;= $C$110,
  $C$103 &amp; "-" &amp; C$109 &amp; ROWS($C$111:C114),
  ""
)</f>
        <v/>
      </c>
      <c r="D114" s="190" t="str">
        <f>IF(
  ROWS($D$111:D114)&lt;= $D$110,
  $C$103 &amp; "-" &amp; D$109 &amp; ROWS($D$111:D114),
  ""
)</f>
        <v/>
      </c>
      <c r="E114" s="190" t="str">
        <f>IF(
  ROWS($E$111:E114)&lt;= $E$110,
  $C$103 &amp; "-" &amp; E$109 &amp; ROWS($E$111:E114),
  ""
)</f>
        <v/>
      </c>
      <c r="F114" s="190" t="str">
        <f>IF(
  ROWS($F$111:F114)&lt;= $F$110,
  $C$103 &amp; "-" &amp; F$109 &amp; ROWS($F$111:F114),
  ""
)</f>
        <v/>
      </c>
      <c r="G114" s="86"/>
      <c r="H114" s="103"/>
      <c r="I114" s="63"/>
      <c r="J114" s="63"/>
      <c r="K114" s="64"/>
      <c r="L114" s="63"/>
      <c r="M114" s="63"/>
      <c r="N114" s="63"/>
      <c r="O114" s="63"/>
      <c r="P114" s="63"/>
      <c r="Q114" s="63"/>
      <c r="R114" s="63"/>
      <c r="S114" s="65"/>
      <c r="T114" s="65"/>
      <c r="U114" s="65"/>
      <c r="V114" s="65"/>
      <c r="W114" s="65"/>
      <c r="X114" s="63"/>
      <c r="Y114" s="63"/>
    </row>
    <row r="115" spans="1:25" hidden="1" x14ac:dyDescent="0.35">
      <c r="A115" s="102"/>
      <c r="B115" s="232"/>
      <c r="C115" s="190" t="str">
        <f>IF(
  ROWS($C$111:C115)&lt;= $C$110,
  $C$103 &amp; "-" &amp; C$109 &amp; ROWS($C$111:C115),
  ""
)</f>
        <v/>
      </c>
      <c r="D115" s="190" t="str">
        <f>IF(
  ROWS($D$111:D115)&lt;= $D$110,
  $C$103 &amp; "-" &amp; D$109 &amp; ROWS($D$111:D115),
  ""
)</f>
        <v/>
      </c>
      <c r="E115" s="190" t="str">
        <f>IF(
  ROWS($E$111:E115)&lt;= $E$110,
  $C$103 &amp; "-" &amp; E$109 &amp; ROWS($E$111:E115),
  ""
)</f>
        <v/>
      </c>
      <c r="F115" s="190" t="str">
        <f>IF(
  ROWS($F$111:F115)&lt;= $F$110,
  $C$103 &amp; "-" &amp; F$109 &amp; ROWS($F$111:F115),
  ""
)</f>
        <v/>
      </c>
      <c r="G115" s="86"/>
      <c r="H115" s="103"/>
      <c r="I115" s="63"/>
      <c r="J115" s="63"/>
      <c r="K115" s="64"/>
      <c r="L115" s="63"/>
      <c r="M115" s="63"/>
      <c r="N115" s="63"/>
      <c r="O115" s="63"/>
      <c r="P115" s="63"/>
      <c r="Q115" s="63"/>
      <c r="R115" s="63"/>
      <c r="S115" s="65"/>
      <c r="T115" s="65"/>
      <c r="U115" s="65"/>
      <c r="V115" s="65"/>
      <c r="W115" s="65"/>
      <c r="X115" s="63"/>
      <c r="Y115" s="63"/>
    </row>
    <row r="116" spans="1:25" hidden="1" x14ac:dyDescent="0.35">
      <c r="A116" s="102"/>
      <c r="B116" s="232"/>
      <c r="C116" s="190" t="str">
        <f>IF(
  ROWS($C$111:C116)&lt;= $C$110,
  $C$103 &amp; "-" &amp; C$109 &amp; ROWS($C$111:C116),
  ""
)</f>
        <v/>
      </c>
      <c r="D116" s="190" t="str">
        <f>IF(
  ROWS($D$111:D116)&lt;= $D$110,
  $C$103 &amp; "-" &amp; D$109 &amp; ROWS($D$111:D116),
  ""
)</f>
        <v/>
      </c>
      <c r="E116" s="190" t="str">
        <f>IF(
  ROWS($E$111:E116)&lt;= $E$110,
  $C$103 &amp; "-" &amp; E$109 &amp; ROWS($E$111:E116),
  ""
)</f>
        <v/>
      </c>
      <c r="F116" s="190" t="str">
        <f>IF(
  ROWS($F$111:F116)&lt;= $F$110,
  $C$103 &amp; "-" &amp; F$109 &amp; ROWS($F$111:F116),
  ""
)</f>
        <v/>
      </c>
      <c r="G116" s="86"/>
      <c r="H116" s="103"/>
      <c r="I116" s="63"/>
      <c r="J116" s="63"/>
      <c r="K116" s="64"/>
      <c r="L116" s="63"/>
      <c r="M116" s="63"/>
      <c r="N116" s="63"/>
      <c r="O116" s="63"/>
      <c r="P116" s="63"/>
      <c r="Q116" s="63"/>
      <c r="R116" s="63"/>
      <c r="S116" s="65"/>
      <c r="T116" s="65"/>
      <c r="U116" s="65"/>
      <c r="V116" s="65"/>
      <c r="W116" s="65"/>
      <c r="X116" s="63"/>
      <c r="Y116" s="63"/>
    </row>
    <row r="117" spans="1:25" hidden="1" x14ac:dyDescent="0.35">
      <c r="A117" s="102"/>
      <c r="B117" s="84" t="s">
        <v>119</v>
      </c>
      <c r="C117" s="23">
        <v>6</v>
      </c>
      <c r="D117" s="85"/>
      <c r="E117" s="85"/>
      <c r="F117" s="85"/>
      <c r="G117" s="86"/>
      <c r="H117" s="103"/>
      <c r="I117" s="63"/>
      <c r="J117" s="63"/>
      <c r="K117" s="64"/>
      <c r="L117" s="63"/>
      <c r="M117" s="63"/>
      <c r="N117" s="63"/>
      <c r="O117" s="63"/>
      <c r="P117" s="63"/>
      <c r="Q117" s="63"/>
      <c r="R117" s="63"/>
      <c r="S117" s="65"/>
      <c r="T117" s="65"/>
      <c r="U117" s="65"/>
      <c r="V117" s="65"/>
      <c r="W117" s="65"/>
      <c r="X117" s="63"/>
      <c r="Y117" s="63"/>
    </row>
    <row r="118" spans="1:25" hidden="1" x14ac:dyDescent="0.35">
      <c r="A118" s="102"/>
      <c r="B118" s="84" t="s">
        <v>120</v>
      </c>
      <c r="C118" s="19" t="b">
        <f>IF(OR(C104="WTI", C104="LDC"),FALSE,TRUE)</f>
        <v>1</v>
      </c>
      <c r="D118" s="21" t="s">
        <v>105</v>
      </c>
      <c r="E118" s="85"/>
      <c r="F118" s="85"/>
      <c r="G118" s="86"/>
      <c r="H118" s="103"/>
      <c r="I118" s="63"/>
      <c r="J118" s="63"/>
      <c r="K118" s="64"/>
      <c r="L118" s="63"/>
      <c r="M118" s="63"/>
      <c r="N118" s="63"/>
      <c r="O118" s="63"/>
      <c r="P118" s="63"/>
      <c r="Q118" s="63"/>
      <c r="R118" s="63"/>
      <c r="S118" s="65"/>
      <c r="T118" s="65"/>
      <c r="U118" s="65"/>
      <c r="V118" s="65"/>
      <c r="W118" s="65"/>
      <c r="X118" s="63"/>
      <c r="Y118" s="63"/>
    </row>
    <row r="119" spans="1:25" hidden="1" x14ac:dyDescent="0.35">
      <c r="A119" s="102"/>
      <c r="B119" s="84" t="s">
        <v>121</v>
      </c>
      <c r="C119" s="19" t="b">
        <f>IF(OR(C104="WTI", C104="LDC"),FALSE,TRUE)</f>
        <v>1</v>
      </c>
      <c r="D119" s="21" t="s">
        <v>106</v>
      </c>
      <c r="E119" s="85"/>
      <c r="F119" s="85"/>
      <c r="G119" s="86"/>
      <c r="H119" s="103"/>
      <c r="I119" s="63"/>
      <c r="J119" s="63"/>
      <c r="K119" s="64"/>
      <c r="L119" s="63"/>
      <c r="M119" s="63"/>
      <c r="N119" s="63"/>
      <c r="O119" s="63"/>
      <c r="P119" s="63"/>
      <c r="Q119" s="63"/>
      <c r="R119" s="63"/>
      <c r="S119" s="65"/>
      <c r="T119" s="65"/>
      <c r="U119" s="65"/>
      <c r="V119" s="65"/>
      <c r="W119" s="65"/>
      <c r="X119" s="63"/>
      <c r="Y119" s="63"/>
    </row>
    <row r="120" spans="1:25" hidden="1" x14ac:dyDescent="0.35">
      <c r="A120" s="102"/>
      <c r="B120" s="84" t="str">
        <f>IF(C118=TRUE, "Ratio Type", "")</f>
        <v>Ratio Type</v>
      </c>
      <c r="C120" s="14" t="s">
        <v>30</v>
      </c>
      <c r="D120" s="85"/>
      <c r="E120" s="85"/>
      <c r="F120" s="85"/>
      <c r="G120" s="86"/>
      <c r="H120" s="103"/>
      <c r="I120" s="63"/>
      <c r="J120" s="63"/>
      <c r="K120" s="64"/>
      <c r="L120" s="63"/>
      <c r="M120" s="63"/>
      <c r="N120" s="63"/>
      <c r="O120" s="63"/>
      <c r="P120" s="63"/>
      <c r="Q120" s="63"/>
      <c r="R120" s="63"/>
      <c r="S120" s="65"/>
      <c r="T120" s="65"/>
      <c r="U120" s="65"/>
      <c r="V120" s="65"/>
      <c r="W120" s="65"/>
      <c r="X120" s="63"/>
      <c r="Y120" s="63"/>
    </row>
    <row r="121" spans="1:25" hidden="1" x14ac:dyDescent="0.35">
      <c r="A121" s="102"/>
      <c r="B121" s="89" t="s">
        <v>91</v>
      </c>
      <c r="C121" s="20">
        <v>2</v>
      </c>
      <c r="D121" s="85"/>
      <c r="E121" s="85"/>
      <c r="F121" s="85"/>
      <c r="G121" s="86"/>
      <c r="H121" s="103"/>
      <c r="I121" s="63"/>
      <c r="J121" s="63"/>
      <c r="K121" s="64"/>
      <c r="L121" s="63"/>
      <c r="M121" s="63"/>
      <c r="N121" s="63"/>
      <c r="O121" s="63"/>
      <c r="P121" s="63"/>
      <c r="Q121" s="63"/>
      <c r="R121" s="63"/>
      <c r="S121" s="65"/>
      <c r="T121" s="65"/>
      <c r="U121" s="65"/>
      <c r="V121" s="65"/>
      <c r="W121" s="65"/>
      <c r="X121" s="63"/>
      <c r="Y121" s="63"/>
    </row>
    <row r="122" spans="1:25" hidden="1" x14ac:dyDescent="0.35">
      <c r="A122" s="102"/>
      <c r="B122" s="233" t="s">
        <v>96</v>
      </c>
      <c r="C122" s="234" t="s">
        <v>103</v>
      </c>
      <c r="D122" s="234"/>
      <c r="E122" s="234"/>
      <c r="F122" s="234"/>
      <c r="G122" s="86"/>
      <c r="H122" s="103"/>
      <c r="I122" s="63"/>
      <c r="J122" s="63"/>
      <c r="K122" s="64"/>
      <c r="L122" s="63"/>
      <c r="M122" s="63"/>
      <c r="N122" s="63"/>
      <c r="O122" s="63"/>
      <c r="P122" s="63"/>
      <c r="Q122" s="63"/>
      <c r="R122" s="63"/>
      <c r="S122" s="65"/>
      <c r="T122" s="65"/>
      <c r="U122" s="65"/>
      <c r="V122" s="65"/>
      <c r="W122" s="65"/>
      <c r="X122" s="63"/>
      <c r="Y122" s="63"/>
    </row>
    <row r="123" spans="1:25" hidden="1" x14ac:dyDescent="0.35">
      <c r="A123" s="102"/>
      <c r="B123" s="233"/>
      <c r="C123" s="234"/>
      <c r="D123" s="234"/>
      <c r="E123" s="234"/>
      <c r="F123" s="234"/>
      <c r="G123" s="86"/>
      <c r="H123" s="103"/>
      <c r="I123" s="63"/>
      <c r="J123" s="63"/>
      <c r="K123" s="64"/>
      <c r="L123" s="63"/>
      <c r="M123" s="63"/>
      <c r="N123" s="63"/>
      <c r="O123" s="63"/>
      <c r="P123" s="63"/>
      <c r="Q123" s="63"/>
      <c r="R123" s="63"/>
      <c r="S123" s="65"/>
      <c r="T123" s="65"/>
      <c r="U123" s="65"/>
      <c r="V123" s="65"/>
      <c r="W123" s="65"/>
      <c r="X123" s="63"/>
      <c r="Y123" s="63"/>
    </row>
    <row r="124" spans="1:25" hidden="1" x14ac:dyDescent="0.35">
      <c r="A124" s="102"/>
      <c r="B124" s="90"/>
      <c r="C124" s="85"/>
      <c r="D124" s="85"/>
      <c r="E124" s="85"/>
      <c r="F124" s="85"/>
      <c r="G124" s="86"/>
      <c r="H124" s="103"/>
      <c r="I124" s="63"/>
      <c r="J124" s="63"/>
      <c r="K124" s="64"/>
      <c r="L124" s="63"/>
      <c r="M124" s="63"/>
      <c r="N124" s="63"/>
      <c r="O124" s="63"/>
      <c r="P124" s="63"/>
      <c r="Q124" s="63"/>
      <c r="R124" s="63"/>
      <c r="S124" s="65"/>
      <c r="T124" s="65"/>
      <c r="U124" s="65"/>
      <c r="V124" s="65"/>
      <c r="W124" s="65"/>
      <c r="X124" s="63"/>
      <c r="Y124" s="63"/>
    </row>
    <row r="125" spans="1:25" ht="13.5" hidden="1" thickBot="1" x14ac:dyDescent="0.4">
      <c r="A125" s="102"/>
      <c r="B125" s="91"/>
      <c r="C125" s="92"/>
      <c r="D125" s="92"/>
      <c r="E125" s="92"/>
      <c r="F125" s="92"/>
      <c r="G125" s="98"/>
      <c r="H125" s="103"/>
      <c r="I125" s="63"/>
      <c r="J125" s="63"/>
      <c r="K125" s="64"/>
      <c r="L125" s="63"/>
      <c r="M125" s="63"/>
      <c r="N125" s="63"/>
      <c r="O125" s="63"/>
      <c r="P125" s="63"/>
      <c r="Q125" s="63"/>
      <c r="R125" s="63"/>
      <c r="S125" s="65"/>
      <c r="T125" s="65"/>
      <c r="U125" s="65"/>
      <c r="V125" s="65"/>
      <c r="W125" s="65"/>
      <c r="X125" s="63"/>
      <c r="Y125" s="63"/>
    </row>
    <row r="126" spans="1:25" hidden="1" x14ac:dyDescent="0.35">
      <c r="A126" s="102"/>
      <c r="B126" s="102"/>
      <c r="C126" s="103"/>
      <c r="D126" s="103"/>
      <c r="E126" s="103"/>
      <c r="F126" s="103"/>
      <c r="G126" s="102"/>
      <c r="H126" s="103"/>
      <c r="I126" s="63"/>
      <c r="J126" s="63"/>
      <c r="K126" s="64"/>
      <c r="L126" s="63"/>
      <c r="M126" s="63"/>
      <c r="N126" s="63"/>
      <c r="O126" s="63"/>
      <c r="P126" s="63"/>
      <c r="Q126" s="63"/>
      <c r="R126" s="63"/>
      <c r="S126" s="65"/>
      <c r="T126" s="65"/>
      <c r="U126" s="65"/>
      <c r="V126" s="65"/>
      <c r="W126" s="65"/>
      <c r="X126" s="63"/>
      <c r="Y126" s="63"/>
    </row>
    <row r="127" spans="1:25" hidden="1" x14ac:dyDescent="0.35">
      <c r="I127" s="63"/>
      <c r="J127" s="63"/>
      <c r="K127" s="64"/>
      <c r="L127" s="63"/>
      <c r="M127" s="63"/>
      <c r="N127" s="63"/>
      <c r="O127" s="63"/>
      <c r="P127" s="63"/>
      <c r="Q127" s="63"/>
      <c r="R127" s="63"/>
      <c r="S127" s="65"/>
      <c r="T127" s="65"/>
      <c r="U127" s="65"/>
      <c r="V127" s="65"/>
      <c r="W127" s="65"/>
      <c r="X127" s="63"/>
      <c r="Y127" s="63"/>
    </row>
    <row r="128" spans="1:25" hidden="1" x14ac:dyDescent="0.35">
      <c r="I128" s="63"/>
      <c r="J128" s="63"/>
      <c r="K128" s="64"/>
      <c r="L128" s="63"/>
      <c r="M128" s="63"/>
      <c r="N128" s="63"/>
      <c r="O128" s="63"/>
      <c r="P128" s="63"/>
      <c r="Q128" s="63"/>
      <c r="R128" s="63"/>
      <c r="S128" s="65"/>
      <c r="T128" s="65"/>
      <c r="U128" s="65"/>
      <c r="V128" s="65"/>
      <c r="W128" s="65"/>
      <c r="X128" s="63"/>
      <c r="Y128" s="63"/>
    </row>
    <row r="129" spans="9:25" hidden="1" x14ac:dyDescent="0.35">
      <c r="I129" s="63"/>
      <c r="J129" s="63"/>
      <c r="K129" s="64"/>
      <c r="L129" s="63"/>
      <c r="M129" s="63"/>
      <c r="N129" s="63"/>
      <c r="O129" s="63"/>
      <c r="P129" s="63"/>
      <c r="Q129" s="63"/>
      <c r="R129" s="63"/>
      <c r="S129" s="65"/>
      <c r="T129" s="65"/>
      <c r="U129" s="65"/>
      <c r="V129" s="65"/>
      <c r="W129" s="65"/>
      <c r="X129" s="63"/>
      <c r="Y129" s="63"/>
    </row>
    <row r="130" spans="9:25" hidden="1" x14ac:dyDescent="0.35">
      <c r="I130" s="63"/>
      <c r="J130" s="63"/>
      <c r="K130" s="64"/>
      <c r="L130" s="63"/>
      <c r="M130" s="63"/>
      <c r="N130" s="63"/>
      <c r="O130" s="63"/>
      <c r="P130" s="63"/>
      <c r="Q130" s="63"/>
      <c r="R130" s="63"/>
      <c r="S130" s="65"/>
      <c r="T130" s="65"/>
      <c r="U130" s="65"/>
      <c r="V130" s="65"/>
      <c r="W130" s="65"/>
      <c r="X130" s="63"/>
      <c r="Y130" s="63"/>
    </row>
    <row r="131" spans="9:25" hidden="1" x14ac:dyDescent="0.35">
      <c r="I131" s="63"/>
      <c r="J131" s="63"/>
      <c r="K131" s="64"/>
      <c r="L131" s="63"/>
      <c r="M131" s="63"/>
      <c r="N131" s="63"/>
      <c r="O131" s="63"/>
      <c r="P131" s="63"/>
      <c r="Q131" s="63"/>
      <c r="R131" s="63"/>
      <c r="S131" s="65"/>
      <c r="T131" s="65"/>
      <c r="U131" s="65"/>
      <c r="V131" s="65"/>
      <c r="W131" s="65"/>
      <c r="X131" s="63"/>
      <c r="Y131" s="63"/>
    </row>
    <row r="132" spans="9:25" hidden="1" x14ac:dyDescent="0.35">
      <c r="I132" s="63"/>
      <c r="J132" s="63"/>
      <c r="K132" s="64"/>
      <c r="L132" s="63"/>
      <c r="M132" s="63"/>
      <c r="N132" s="63"/>
      <c r="O132" s="63"/>
      <c r="P132" s="63"/>
      <c r="Q132" s="63"/>
      <c r="R132" s="63"/>
      <c r="S132" s="65"/>
      <c r="T132" s="65"/>
      <c r="U132" s="65"/>
      <c r="V132" s="65"/>
      <c r="W132" s="65"/>
      <c r="X132" s="63"/>
      <c r="Y132" s="63"/>
    </row>
    <row r="133" spans="9:25" hidden="1" x14ac:dyDescent="0.35">
      <c r="I133" s="63"/>
      <c r="J133" s="63"/>
      <c r="K133" s="64"/>
      <c r="L133" s="63"/>
      <c r="M133" s="63"/>
      <c r="N133" s="63"/>
      <c r="O133" s="63"/>
      <c r="P133" s="63"/>
      <c r="Q133" s="63"/>
      <c r="R133" s="63"/>
      <c r="S133" s="65"/>
      <c r="T133" s="65"/>
      <c r="U133" s="65"/>
      <c r="V133" s="65"/>
      <c r="W133" s="65"/>
      <c r="X133" s="63"/>
      <c r="Y133" s="63"/>
    </row>
    <row r="134" spans="9:25" hidden="1" x14ac:dyDescent="0.35">
      <c r="I134" s="63"/>
      <c r="J134" s="63"/>
      <c r="K134" s="64"/>
      <c r="L134" s="63"/>
      <c r="M134" s="63"/>
      <c r="N134" s="63"/>
      <c r="O134" s="63"/>
      <c r="P134" s="63"/>
      <c r="Q134" s="63"/>
      <c r="R134" s="63"/>
      <c r="S134" s="65"/>
      <c r="T134" s="65"/>
      <c r="U134" s="65"/>
      <c r="V134" s="65"/>
      <c r="W134" s="65"/>
      <c r="X134" s="63"/>
      <c r="Y134" s="63"/>
    </row>
    <row r="135" spans="9:25" hidden="1" x14ac:dyDescent="0.35">
      <c r="I135" s="63"/>
      <c r="J135" s="63"/>
      <c r="K135" s="64"/>
      <c r="L135" s="63"/>
      <c r="M135" s="63"/>
      <c r="N135" s="63"/>
      <c r="O135" s="63"/>
      <c r="P135" s="63"/>
      <c r="Q135" s="63"/>
      <c r="R135" s="63"/>
      <c r="S135" s="65"/>
      <c r="T135" s="65"/>
      <c r="U135" s="65"/>
      <c r="V135" s="65"/>
      <c r="W135" s="65"/>
      <c r="X135" s="63"/>
      <c r="Y135" s="63"/>
    </row>
    <row r="136" spans="9:25" hidden="1" x14ac:dyDescent="0.35">
      <c r="I136" s="63"/>
      <c r="J136" s="63"/>
      <c r="K136" s="64"/>
      <c r="L136" s="63"/>
      <c r="M136" s="63"/>
      <c r="N136" s="63"/>
      <c r="O136" s="63"/>
      <c r="P136" s="63"/>
      <c r="Q136" s="63"/>
      <c r="R136" s="63"/>
      <c r="S136" s="65"/>
      <c r="T136" s="65"/>
      <c r="U136" s="65"/>
      <c r="V136" s="65"/>
      <c r="W136" s="65"/>
      <c r="X136" s="63"/>
      <c r="Y136" s="63"/>
    </row>
    <row r="137" spans="9:25" hidden="1" x14ac:dyDescent="0.35">
      <c r="I137" s="63"/>
      <c r="J137" s="63"/>
      <c r="K137" s="64"/>
      <c r="L137" s="63"/>
      <c r="M137" s="63"/>
      <c r="N137" s="63"/>
      <c r="O137" s="63"/>
      <c r="P137" s="63"/>
      <c r="Q137" s="63"/>
      <c r="R137" s="63"/>
      <c r="S137" s="65"/>
      <c r="T137" s="65"/>
      <c r="U137" s="65"/>
      <c r="V137" s="65"/>
      <c r="W137" s="65"/>
      <c r="X137" s="63"/>
      <c r="Y137" s="63"/>
    </row>
    <row r="138" spans="9:25" hidden="1" x14ac:dyDescent="0.35">
      <c r="I138" s="63"/>
      <c r="J138" s="63"/>
      <c r="K138" s="64"/>
      <c r="L138" s="63"/>
      <c r="M138" s="63"/>
      <c r="N138" s="63"/>
      <c r="O138" s="63"/>
      <c r="P138" s="63"/>
      <c r="Q138" s="63"/>
      <c r="R138" s="63"/>
      <c r="S138" s="65"/>
      <c r="T138" s="65"/>
      <c r="U138" s="65"/>
      <c r="V138" s="65"/>
      <c r="W138" s="65"/>
      <c r="X138" s="63"/>
      <c r="Y138" s="63"/>
    </row>
    <row r="139" spans="9:25" hidden="1" x14ac:dyDescent="0.35">
      <c r="I139" s="63"/>
      <c r="J139" s="63"/>
      <c r="K139" s="64"/>
      <c r="L139" s="63"/>
      <c r="M139" s="63"/>
      <c r="N139" s="63"/>
      <c r="O139" s="63"/>
      <c r="P139" s="63"/>
      <c r="Q139" s="63"/>
      <c r="R139" s="63"/>
      <c r="S139" s="65"/>
      <c r="T139" s="65"/>
      <c r="U139" s="65"/>
      <c r="V139" s="65"/>
      <c r="W139" s="65"/>
      <c r="X139" s="63"/>
      <c r="Y139" s="63"/>
    </row>
    <row r="140" spans="9:25" hidden="1" x14ac:dyDescent="0.35">
      <c r="I140" s="63"/>
      <c r="J140" s="63"/>
      <c r="K140" s="64"/>
      <c r="L140" s="63"/>
      <c r="M140" s="63"/>
      <c r="N140" s="63"/>
      <c r="O140" s="63"/>
      <c r="P140" s="63"/>
      <c r="Q140" s="63"/>
      <c r="R140" s="63"/>
      <c r="S140" s="65"/>
      <c r="T140" s="65"/>
      <c r="U140" s="65"/>
      <c r="V140" s="65"/>
      <c r="W140" s="65"/>
      <c r="X140" s="63"/>
      <c r="Y140" s="63"/>
    </row>
    <row r="141" spans="9:25" hidden="1" x14ac:dyDescent="0.35">
      <c r="I141" s="63"/>
      <c r="J141" s="63"/>
      <c r="K141" s="64"/>
      <c r="L141" s="63"/>
      <c r="M141" s="63"/>
      <c r="N141" s="63"/>
      <c r="O141" s="63"/>
      <c r="P141" s="63"/>
      <c r="Q141" s="63"/>
      <c r="R141" s="63"/>
      <c r="S141" s="65"/>
      <c r="T141" s="65"/>
      <c r="U141" s="65"/>
      <c r="V141" s="65"/>
      <c r="W141" s="65"/>
      <c r="X141" s="63"/>
      <c r="Y141" s="63"/>
    </row>
    <row r="142" spans="9:25" hidden="1" x14ac:dyDescent="0.35">
      <c r="I142" s="63"/>
      <c r="J142" s="63"/>
      <c r="K142" s="64"/>
      <c r="L142" s="63"/>
      <c r="M142" s="63"/>
      <c r="N142" s="63"/>
      <c r="O142" s="63"/>
      <c r="P142" s="63"/>
      <c r="Q142" s="63"/>
      <c r="R142" s="63"/>
      <c r="S142" s="65"/>
      <c r="T142" s="65"/>
      <c r="U142" s="65"/>
      <c r="V142" s="65"/>
      <c r="W142" s="65"/>
      <c r="X142" s="63"/>
      <c r="Y142" s="63"/>
    </row>
    <row r="143" spans="9:25" hidden="1" x14ac:dyDescent="0.35">
      <c r="I143" s="63"/>
      <c r="J143" s="63"/>
      <c r="K143" s="64"/>
      <c r="L143" s="63"/>
      <c r="M143" s="63"/>
      <c r="N143" s="63"/>
      <c r="O143" s="63"/>
      <c r="P143" s="63"/>
      <c r="Q143" s="63"/>
      <c r="R143" s="63"/>
      <c r="S143" s="65"/>
      <c r="T143" s="65"/>
      <c r="U143" s="65"/>
      <c r="V143" s="65"/>
      <c r="W143" s="65"/>
      <c r="X143" s="63"/>
      <c r="Y143" s="63"/>
    </row>
    <row r="144" spans="9:25" hidden="1" x14ac:dyDescent="0.35">
      <c r="I144" s="63"/>
      <c r="J144" s="63"/>
      <c r="K144" s="64"/>
      <c r="L144" s="63"/>
      <c r="M144" s="63"/>
      <c r="N144" s="63"/>
      <c r="O144" s="63"/>
      <c r="P144" s="63"/>
      <c r="Q144" s="63"/>
      <c r="R144" s="63"/>
      <c r="S144" s="65"/>
      <c r="T144" s="65"/>
      <c r="U144" s="65"/>
      <c r="V144" s="65"/>
      <c r="W144" s="65"/>
      <c r="X144" s="63"/>
      <c r="Y144" s="63"/>
    </row>
    <row r="145" spans="8:25" hidden="1" x14ac:dyDescent="0.35">
      <c r="I145" s="63"/>
      <c r="J145" s="63"/>
      <c r="K145" s="64"/>
      <c r="L145" s="63"/>
      <c r="M145" s="63"/>
      <c r="N145" s="63"/>
      <c r="O145" s="63"/>
      <c r="P145" s="63"/>
      <c r="Q145" s="63"/>
      <c r="R145" s="63"/>
      <c r="S145" s="65"/>
      <c r="T145" s="65"/>
      <c r="U145" s="65"/>
      <c r="V145" s="65"/>
      <c r="W145" s="65"/>
      <c r="X145" s="63"/>
      <c r="Y145" s="63"/>
    </row>
    <row r="146" spans="8:25" hidden="1" x14ac:dyDescent="0.35">
      <c r="I146" s="63"/>
      <c r="J146" s="63"/>
      <c r="K146" s="64"/>
      <c r="L146" s="63"/>
      <c r="M146" s="63"/>
      <c r="N146" s="63"/>
      <c r="O146" s="63"/>
      <c r="P146" s="63"/>
      <c r="Q146" s="63"/>
      <c r="R146" s="63"/>
      <c r="S146" s="65"/>
      <c r="T146" s="65"/>
      <c r="U146" s="65"/>
      <c r="V146" s="65"/>
      <c r="W146" s="65"/>
      <c r="X146" s="63"/>
      <c r="Y146" s="63"/>
    </row>
    <row r="147" spans="8:25" hidden="1" x14ac:dyDescent="0.35">
      <c r="I147" s="63"/>
      <c r="J147" s="63"/>
      <c r="K147" s="64"/>
      <c r="L147" s="63"/>
      <c r="M147" s="63"/>
      <c r="N147" s="63"/>
      <c r="O147" s="63"/>
      <c r="P147" s="63"/>
      <c r="Q147" s="63"/>
      <c r="R147" s="63"/>
      <c r="S147" s="65"/>
      <c r="T147" s="65"/>
      <c r="U147" s="65"/>
      <c r="V147" s="65"/>
      <c r="W147" s="65"/>
      <c r="X147" s="63"/>
      <c r="Y147" s="63"/>
    </row>
    <row r="148" spans="8:25" hidden="1" x14ac:dyDescent="0.35">
      <c r="I148" s="63"/>
      <c r="J148" s="63"/>
      <c r="K148" s="64"/>
      <c r="L148" s="63"/>
      <c r="M148" s="63"/>
      <c r="N148" s="63"/>
      <c r="O148" s="63"/>
      <c r="P148" s="63"/>
      <c r="Q148" s="63"/>
      <c r="R148" s="63"/>
      <c r="S148" s="65"/>
      <c r="T148" s="65"/>
      <c r="U148" s="65"/>
      <c r="V148" s="65"/>
      <c r="W148" s="65"/>
      <c r="X148" s="63"/>
      <c r="Y148" s="63"/>
    </row>
    <row r="149" spans="8:25" hidden="1" x14ac:dyDescent="0.35">
      <c r="I149" s="63"/>
      <c r="J149" s="63"/>
      <c r="K149" s="64"/>
      <c r="L149" s="63"/>
      <c r="M149" s="63"/>
      <c r="N149" s="63"/>
      <c r="O149" s="63"/>
      <c r="P149" s="63"/>
      <c r="Q149" s="63"/>
      <c r="R149" s="63"/>
      <c r="S149" s="65"/>
      <c r="T149" s="65"/>
      <c r="U149" s="65"/>
      <c r="V149" s="65"/>
      <c r="W149" s="65"/>
      <c r="X149" s="63"/>
      <c r="Y149" s="63"/>
    </row>
    <row r="150" spans="8:25" hidden="1" x14ac:dyDescent="0.35">
      <c r="I150" s="63"/>
      <c r="J150" s="63"/>
      <c r="K150" s="64"/>
      <c r="L150" s="63"/>
      <c r="M150" s="63"/>
      <c r="N150" s="63"/>
      <c r="O150" s="63"/>
      <c r="P150" s="63"/>
      <c r="Q150" s="63"/>
      <c r="R150" s="63"/>
      <c r="S150" s="65"/>
      <c r="T150" s="65"/>
      <c r="U150" s="65"/>
      <c r="V150" s="65"/>
      <c r="W150" s="65"/>
      <c r="X150" s="63"/>
      <c r="Y150" s="63"/>
    </row>
    <row r="151" spans="8:25" hidden="1" x14ac:dyDescent="0.35">
      <c r="I151" s="63"/>
      <c r="J151" s="63"/>
      <c r="K151" s="64"/>
      <c r="L151" s="63"/>
      <c r="M151" s="63"/>
      <c r="N151" s="63"/>
      <c r="O151" s="63"/>
      <c r="P151" s="63"/>
      <c r="Q151" s="63"/>
      <c r="R151" s="63"/>
      <c r="S151" s="65"/>
      <c r="T151" s="65"/>
      <c r="U151" s="65"/>
      <c r="V151" s="65"/>
      <c r="W151" s="65"/>
      <c r="X151" s="63"/>
      <c r="Y151" s="63"/>
    </row>
    <row r="152" spans="8:25" hidden="1" x14ac:dyDescent="0.35">
      <c r="I152" s="63"/>
      <c r="J152" s="63"/>
      <c r="K152" s="64"/>
      <c r="L152" s="63"/>
      <c r="M152" s="63"/>
      <c r="N152" s="63"/>
      <c r="O152" s="63"/>
      <c r="P152" s="63"/>
      <c r="Q152" s="63"/>
      <c r="R152" s="63"/>
      <c r="S152" s="65"/>
      <c r="T152" s="65"/>
      <c r="U152" s="65"/>
      <c r="V152" s="65"/>
      <c r="W152" s="65"/>
      <c r="X152" s="63"/>
      <c r="Y152" s="63"/>
    </row>
    <row r="153" spans="8:25" hidden="1" x14ac:dyDescent="0.35">
      <c r="I153" s="63"/>
      <c r="J153" s="63"/>
      <c r="K153" s="64"/>
      <c r="L153" s="63"/>
      <c r="M153" s="63"/>
      <c r="N153" s="63"/>
      <c r="O153" s="63"/>
      <c r="P153" s="63"/>
      <c r="Q153" s="63"/>
      <c r="R153" s="63"/>
      <c r="S153" s="65"/>
      <c r="T153" s="65"/>
      <c r="U153" s="65"/>
      <c r="V153" s="65"/>
      <c r="W153" s="65"/>
      <c r="X153" s="63"/>
      <c r="Y153" s="63"/>
    </row>
    <row r="154" spans="8:25" hidden="1" x14ac:dyDescent="0.35">
      <c r="H154" s="9"/>
      <c r="I154" s="63"/>
      <c r="J154" s="63"/>
      <c r="K154" s="64"/>
      <c r="L154" s="63"/>
      <c r="M154" s="63"/>
      <c r="N154" s="63"/>
      <c r="O154" s="63"/>
      <c r="P154" s="63"/>
      <c r="Q154" s="63"/>
      <c r="R154" s="63"/>
      <c r="S154" s="65"/>
      <c r="T154" s="65"/>
      <c r="U154" s="65"/>
      <c r="V154" s="65"/>
      <c r="W154" s="65"/>
      <c r="X154" s="63"/>
      <c r="Y154" s="63"/>
    </row>
    <row r="155" spans="8:25" hidden="1" x14ac:dyDescent="0.35">
      <c r="H155" s="9"/>
      <c r="I155" s="63"/>
      <c r="J155" s="63"/>
      <c r="K155" s="64"/>
      <c r="L155" s="63"/>
      <c r="M155" s="63"/>
      <c r="N155" s="63"/>
      <c r="O155" s="63"/>
      <c r="P155" s="63"/>
      <c r="Q155" s="63"/>
      <c r="R155" s="63"/>
      <c r="S155" s="65"/>
      <c r="T155" s="65"/>
      <c r="U155" s="65"/>
      <c r="V155" s="65"/>
      <c r="W155" s="65"/>
      <c r="X155" s="63"/>
      <c r="Y155" s="63"/>
    </row>
    <row r="156" spans="8:25" hidden="1" x14ac:dyDescent="0.35">
      <c r="I156" s="63"/>
      <c r="J156" s="63"/>
      <c r="K156" s="64"/>
      <c r="L156" s="63"/>
      <c r="M156" s="63"/>
      <c r="N156" s="63"/>
      <c r="O156" s="63"/>
      <c r="P156" s="63"/>
      <c r="Q156" s="63"/>
      <c r="R156" s="63"/>
      <c r="S156" s="65"/>
      <c r="T156" s="65"/>
      <c r="U156" s="65"/>
      <c r="V156" s="65"/>
      <c r="W156" s="65"/>
      <c r="X156" s="63"/>
      <c r="Y156" s="63"/>
    </row>
    <row r="157" spans="8:25" hidden="1" x14ac:dyDescent="0.35">
      <c r="I157" s="63"/>
      <c r="J157" s="63"/>
      <c r="K157" s="64"/>
      <c r="L157" s="63"/>
      <c r="M157" s="63"/>
      <c r="N157" s="63"/>
      <c r="O157" s="63"/>
      <c r="P157" s="63"/>
      <c r="Q157" s="63"/>
      <c r="R157" s="63"/>
      <c r="S157" s="65"/>
      <c r="T157" s="65"/>
      <c r="U157" s="65"/>
      <c r="V157" s="65"/>
      <c r="W157" s="65"/>
      <c r="X157" s="63"/>
      <c r="Y157" s="63"/>
    </row>
    <row r="158" spans="8:25" hidden="1" x14ac:dyDescent="0.35">
      <c r="I158" s="63"/>
      <c r="J158" s="63"/>
      <c r="K158" s="64"/>
      <c r="L158" s="63"/>
      <c r="M158" s="63"/>
      <c r="N158" s="63"/>
      <c r="O158" s="63"/>
      <c r="P158" s="63"/>
      <c r="Q158" s="63"/>
      <c r="R158" s="63"/>
      <c r="S158" s="65"/>
      <c r="T158" s="65"/>
      <c r="U158" s="65"/>
      <c r="V158" s="65"/>
      <c r="W158" s="65"/>
      <c r="X158" s="63"/>
      <c r="Y158" s="63"/>
    </row>
    <row r="159" spans="8:25" hidden="1" x14ac:dyDescent="0.35">
      <c r="I159" s="63"/>
      <c r="J159" s="63"/>
      <c r="K159" s="64"/>
      <c r="L159" s="63"/>
      <c r="M159" s="63"/>
      <c r="N159" s="63"/>
      <c r="O159" s="63"/>
      <c r="P159" s="63"/>
      <c r="Q159" s="63"/>
      <c r="R159" s="63"/>
      <c r="S159" s="65"/>
      <c r="T159" s="65"/>
      <c r="U159" s="65"/>
      <c r="V159" s="65"/>
      <c r="W159" s="65"/>
      <c r="X159" s="63"/>
      <c r="Y159" s="63"/>
    </row>
    <row r="160" spans="8:25" hidden="1" x14ac:dyDescent="0.35">
      <c r="I160" s="63"/>
      <c r="J160" s="63"/>
      <c r="K160" s="64"/>
      <c r="L160" s="63"/>
      <c r="M160" s="63"/>
      <c r="N160" s="63"/>
      <c r="O160" s="63"/>
      <c r="P160" s="63"/>
      <c r="Q160" s="63"/>
      <c r="R160" s="63"/>
      <c r="S160" s="65"/>
      <c r="T160" s="65"/>
      <c r="U160" s="65"/>
      <c r="V160" s="65"/>
      <c r="W160" s="65"/>
      <c r="X160" s="63"/>
      <c r="Y160" s="63"/>
    </row>
    <row r="161" spans="9:25" hidden="1" x14ac:dyDescent="0.35">
      <c r="I161" s="63"/>
      <c r="J161" s="63"/>
      <c r="K161" s="64"/>
      <c r="L161" s="63"/>
      <c r="M161" s="63"/>
      <c r="N161" s="63"/>
      <c r="O161" s="63"/>
      <c r="P161" s="63"/>
      <c r="Q161" s="63"/>
      <c r="R161" s="63"/>
      <c r="S161" s="65"/>
      <c r="T161" s="65"/>
      <c r="U161" s="65"/>
      <c r="V161" s="65"/>
      <c r="W161" s="65"/>
      <c r="X161" s="63"/>
      <c r="Y161" s="63"/>
    </row>
    <row r="162" spans="9:25" hidden="1" x14ac:dyDescent="0.35">
      <c r="I162" s="63"/>
      <c r="J162" s="63"/>
      <c r="K162" s="64"/>
      <c r="L162" s="63"/>
      <c r="M162" s="63"/>
      <c r="N162" s="63"/>
      <c r="O162" s="63"/>
      <c r="P162" s="63"/>
      <c r="Q162" s="63"/>
      <c r="R162" s="63"/>
      <c r="S162" s="65"/>
      <c r="T162" s="65"/>
      <c r="U162" s="65"/>
      <c r="V162" s="65"/>
      <c r="W162" s="65"/>
      <c r="X162" s="63"/>
      <c r="Y162" s="63"/>
    </row>
    <row r="163" spans="9:25" hidden="1" x14ac:dyDescent="0.35">
      <c r="I163" s="63"/>
      <c r="J163" s="63"/>
      <c r="K163" s="64"/>
      <c r="L163" s="63"/>
      <c r="M163" s="63"/>
      <c r="N163" s="63"/>
      <c r="O163" s="63"/>
      <c r="P163" s="63"/>
      <c r="Q163" s="63"/>
      <c r="R163" s="63"/>
      <c r="S163" s="65"/>
      <c r="T163" s="65"/>
      <c r="U163" s="65"/>
      <c r="V163" s="65"/>
      <c r="W163" s="65"/>
      <c r="X163" s="63"/>
      <c r="Y163" s="63"/>
    </row>
    <row r="164" spans="9:25" hidden="1" x14ac:dyDescent="0.35">
      <c r="I164" s="63"/>
      <c r="J164" s="63"/>
      <c r="K164" s="64"/>
      <c r="L164" s="63"/>
      <c r="M164" s="63"/>
      <c r="N164" s="63"/>
      <c r="O164" s="63"/>
      <c r="P164" s="63"/>
      <c r="Q164" s="63"/>
      <c r="R164" s="63"/>
      <c r="S164" s="65"/>
      <c r="T164" s="65"/>
      <c r="U164" s="65"/>
      <c r="V164" s="65"/>
      <c r="W164" s="65"/>
      <c r="X164" s="63"/>
      <c r="Y164" s="63"/>
    </row>
    <row r="165" spans="9:25" hidden="1" x14ac:dyDescent="0.35">
      <c r="I165" s="63"/>
      <c r="J165" s="63"/>
      <c r="K165" s="64"/>
      <c r="L165" s="63"/>
      <c r="M165" s="63"/>
      <c r="N165" s="63"/>
      <c r="O165" s="63"/>
      <c r="P165" s="63"/>
      <c r="Q165" s="63"/>
      <c r="R165" s="63"/>
      <c r="S165" s="65"/>
      <c r="T165" s="65"/>
      <c r="U165" s="65"/>
      <c r="V165" s="65"/>
      <c r="W165" s="65"/>
      <c r="X165" s="63"/>
      <c r="Y165" s="63"/>
    </row>
    <row r="166" spans="9:25" hidden="1" x14ac:dyDescent="0.35">
      <c r="I166" s="63"/>
      <c r="J166" s="63"/>
      <c r="K166" s="64"/>
      <c r="L166" s="63"/>
      <c r="M166" s="63"/>
      <c r="N166" s="63"/>
      <c r="O166" s="63"/>
      <c r="P166" s="63"/>
      <c r="Q166" s="63"/>
      <c r="R166" s="63"/>
      <c r="S166" s="65"/>
      <c r="T166" s="65"/>
      <c r="U166" s="65"/>
      <c r="V166" s="65"/>
      <c r="W166" s="65"/>
      <c r="X166" s="63"/>
      <c r="Y166" s="63"/>
    </row>
    <row r="167" spans="9:25" hidden="1" x14ac:dyDescent="0.35">
      <c r="I167" s="63"/>
      <c r="J167" s="63"/>
      <c r="K167" s="64"/>
      <c r="L167" s="63"/>
      <c r="M167" s="63"/>
      <c r="N167" s="63"/>
      <c r="O167" s="63"/>
      <c r="P167" s="63"/>
      <c r="Q167" s="63"/>
      <c r="R167" s="63"/>
      <c r="S167" s="65"/>
      <c r="T167" s="65"/>
      <c r="U167" s="65"/>
      <c r="V167" s="65"/>
      <c r="W167" s="65"/>
      <c r="X167" s="63"/>
      <c r="Y167" s="63"/>
    </row>
    <row r="168" spans="9:25" hidden="1" x14ac:dyDescent="0.35">
      <c r="I168" s="63"/>
      <c r="J168" s="63"/>
      <c r="K168" s="64"/>
      <c r="L168" s="63"/>
      <c r="M168" s="63"/>
      <c r="N168" s="63"/>
      <c r="O168" s="63"/>
      <c r="P168" s="63"/>
      <c r="Q168" s="63"/>
      <c r="R168" s="63"/>
      <c r="S168" s="65"/>
      <c r="T168" s="65"/>
      <c r="U168" s="65"/>
      <c r="V168" s="65"/>
      <c r="W168" s="65"/>
      <c r="X168" s="63"/>
      <c r="Y168" s="63"/>
    </row>
    <row r="169" spans="9:25" hidden="1" x14ac:dyDescent="0.35">
      <c r="I169" s="63"/>
      <c r="J169" s="63"/>
      <c r="K169" s="64"/>
      <c r="L169" s="63"/>
      <c r="M169" s="63"/>
      <c r="N169" s="63"/>
      <c r="O169" s="63"/>
      <c r="P169" s="63"/>
      <c r="Q169" s="63"/>
      <c r="R169" s="63"/>
      <c r="S169" s="65"/>
      <c r="T169" s="65"/>
      <c r="U169" s="65"/>
      <c r="V169" s="65"/>
      <c r="W169" s="65"/>
      <c r="X169" s="63"/>
      <c r="Y169" s="63"/>
    </row>
    <row r="170" spans="9:25" hidden="1" x14ac:dyDescent="0.35">
      <c r="I170" s="63"/>
      <c r="J170" s="63"/>
      <c r="K170" s="64"/>
      <c r="L170" s="63"/>
      <c r="M170" s="63"/>
      <c r="N170" s="63"/>
      <c r="O170" s="63"/>
      <c r="P170" s="63"/>
      <c r="Q170" s="63"/>
      <c r="R170" s="63"/>
      <c r="S170" s="65"/>
      <c r="T170" s="65"/>
      <c r="U170" s="65"/>
      <c r="V170" s="65"/>
      <c r="W170" s="65"/>
      <c r="X170" s="63"/>
      <c r="Y170" s="63"/>
    </row>
    <row r="171" spans="9:25" hidden="1" x14ac:dyDescent="0.35">
      <c r="I171" s="63"/>
      <c r="J171" s="63"/>
      <c r="K171" s="64"/>
      <c r="L171" s="63"/>
      <c r="M171" s="63"/>
      <c r="N171" s="63"/>
      <c r="O171" s="63"/>
      <c r="P171" s="63"/>
      <c r="Q171" s="63"/>
      <c r="R171" s="63"/>
      <c r="S171" s="65"/>
      <c r="T171" s="65"/>
      <c r="U171" s="65"/>
      <c r="V171" s="65"/>
      <c r="W171" s="65"/>
      <c r="X171" s="63"/>
      <c r="Y171" s="63"/>
    </row>
    <row r="172" spans="9:25" hidden="1" x14ac:dyDescent="0.35">
      <c r="I172" s="63"/>
      <c r="J172" s="63"/>
      <c r="K172" s="64"/>
      <c r="L172" s="63"/>
      <c r="M172" s="63"/>
      <c r="N172" s="63"/>
      <c r="O172" s="63"/>
      <c r="P172" s="63"/>
      <c r="Q172" s="63"/>
      <c r="R172" s="63"/>
      <c r="S172" s="65"/>
      <c r="T172" s="65"/>
      <c r="U172" s="65"/>
      <c r="V172" s="65"/>
      <c r="W172" s="65"/>
      <c r="X172" s="63"/>
      <c r="Y172" s="63"/>
    </row>
    <row r="173" spans="9:25" hidden="1" x14ac:dyDescent="0.35">
      <c r="I173" s="63"/>
      <c r="J173" s="63"/>
      <c r="K173" s="64"/>
      <c r="L173" s="63"/>
      <c r="M173" s="63"/>
      <c r="N173" s="63"/>
      <c r="O173" s="63"/>
      <c r="P173" s="63"/>
      <c r="Q173" s="63"/>
      <c r="R173" s="63"/>
      <c r="S173" s="65"/>
      <c r="T173" s="65"/>
      <c r="U173" s="65"/>
      <c r="V173" s="65"/>
      <c r="W173" s="65"/>
      <c r="X173" s="63"/>
      <c r="Y173" s="63"/>
    </row>
    <row r="174" spans="9:25" hidden="1" x14ac:dyDescent="0.35">
      <c r="I174" s="63"/>
      <c r="J174" s="63"/>
      <c r="K174" s="64"/>
      <c r="L174" s="63"/>
      <c r="M174" s="63"/>
      <c r="N174" s="63"/>
      <c r="O174" s="63"/>
      <c r="P174" s="63"/>
      <c r="Q174" s="63"/>
      <c r="R174" s="63"/>
      <c r="S174" s="65"/>
      <c r="T174" s="65"/>
      <c r="U174" s="65"/>
      <c r="V174" s="65"/>
      <c r="W174" s="65"/>
      <c r="X174" s="63"/>
      <c r="Y174" s="63"/>
    </row>
    <row r="175" spans="9:25" hidden="1" x14ac:dyDescent="0.35">
      <c r="I175" s="63"/>
      <c r="J175" s="63"/>
      <c r="K175" s="64"/>
      <c r="L175" s="63"/>
      <c r="M175" s="63"/>
      <c r="N175" s="63"/>
      <c r="O175" s="63"/>
      <c r="P175" s="63"/>
      <c r="Q175" s="63"/>
      <c r="R175" s="63"/>
      <c r="S175" s="65"/>
      <c r="T175" s="65"/>
      <c r="U175" s="65"/>
      <c r="V175" s="65"/>
      <c r="W175" s="65"/>
      <c r="X175" s="63"/>
      <c r="Y175" s="63"/>
    </row>
    <row r="176" spans="9:25" hidden="1" x14ac:dyDescent="0.35">
      <c r="I176" s="63"/>
      <c r="J176" s="63"/>
      <c r="K176" s="64"/>
      <c r="L176" s="63"/>
      <c r="M176" s="63"/>
      <c r="N176" s="63"/>
      <c r="O176" s="63"/>
      <c r="P176" s="63"/>
      <c r="Q176" s="63"/>
      <c r="R176" s="63"/>
      <c r="S176" s="65"/>
      <c r="T176" s="65"/>
      <c r="U176" s="65"/>
      <c r="V176" s="65"/>
      <c r="W176" s="65"/>
      <c r="X176" s="63"/>
      <c r="Y176" s="63"/>
    </row>
    <row r="177" spans="9:25" hidden="1" x14ac:dyDescent="0.35">
      <c r="I177" s="63"/>
      <c r="J177" s="63"/>
      <c r="K177" s="64"/>
      <c r="L177" s="63"/>
      <c r="M177" s="63"/>
      <c r="N177" s="63"/>
      <c r="O177" s="63"/>
      <c r="P177" s="63"/>
      <c r="Q177" s="63"/>
      <c r="R177" s="63"/>
      <c r="S177" s="65"/>
      <c r="T177" s="65"/>
      <c r="U177" s="65"/>
      <c r="V177" s="65"/>
      <c r="W177" s="65"/>
      <c r="X177" s="63"/>
      <c r="Y177" s="63"/>
    </row>
    <row r="178" spans="9:25" hidden="1" x14ac:dyDescent="0.35">
      <c r="I178" s="63"/>
      <c r="J178" s="63"/>
      <c r="K178" s="64"/>
      <c r="L178" s="63"/>
      <c r="M178" s="63"/>
      <c r="N178" s="63"/>
      <c r="O178" s="63"/>
      <c r="P178" s="63"/>
      <c r="Q178" s="63"/>
      <c r="R178" s="63"/>
      <c r="S178" s="65"/>
      <c r="T178" s="65"/>
      <c r="U178" s="65"/>
      <c r="V178" s="65"/>
      <c r="W178" s="65"/>
      <c r="X178" s="63"/>
      <c r="Y178" s="63"/>
    </row>
    <row r="179" spans="9:25" hidden="1" x14ac:dyDescent="0.35">
      <c r="I179" s="63"/>
      <c r="J179" s="63"/>
      <c r="K179" s="64"/>
      <c r="L179" s="63"/>
      <c r="M179" s="63"/>
      <c r="N179" s="63"/>
      <c r="O179" s="63"/>
      <c r="P179" s="63"/>
      <c r="Q179" s="63"/>
      <c r="R179" s="63"/>
      <c r="S179" s="65"/>
      <c r="T179" s="65"/>
      <c r="U179" s="65"/>
      <c r="V179" s="65"/>
      <c r="W179" s="65"/>
      <c r="X179" s="63"/>
      <c r="Y179" s="63"/>
    </row>
    <row r="180" spans="9:25" hidden="1" x14ac:dyDescent="0.35">
      <c r="I180" s="63"/>
      <c r="J180" s="63"/>
      <c r="K180" s="64"/>
      <c r="L180" s="63"/>
      <c r="M180" s="63"/>
      <c r="N180" s="63"/>
      <c r="O180" s="63"/>
      <c r="P180" s="63"/>
      <c r="Q180" s="63"/>
      <c r="R180" s="63"/>
      <c r="S180" s="65"/>
      <c r="T180" s="65"/>
      <c r="U180" s="65"/>
      <c r="V180" s="65"/>
      <c r="W180" s="65"/>
      <c r="X180" s="63"/>
      <c r="Y180" s="63"/>
    </row>
    <row r="181" spans="9:25" hidden="1" x14ac:dyDescent="0.35">
      <c r="I181" s="63"/>
      <c r="J181" s="63"/>
      <c r="K181" s="64"/>
      <c r="L181" s="63"/>
      <c r="M181" s="63"/>
      <c r="N181" s="63"/>
      <c r="O181" s="63"/>
      <c r="P181" s="63"/>
      <c r="Q181" s="63"/>
      <c r="R181" s="63"/>
      <c r="S181" s="65"/>
      <c r="T181" s="65"/>
      <c r="U181" s="65"/>
      <c r="V181" s="65"/>
      <c r="W181" s="65"/>
      <c r="X181" s="63"/>
      <c r="Y181" s="63"/>
    </row>
    <row r="182" spans="9:25" hidden="1" x14ac:dyDescent="0.35">
      <c r="I182" s="63"/>
      <c r="J182" s="63"/>
      <c r="K182" s="64"/>
      <c r="L182" s="63"/>
      <c r="M182" s="63"/>
      <c r="N182" s="63"/>
      <c r="O182" s="63"/>
      <c r="P182" s="63"/>
      <c r="Q182" s="63"/>
      <c r="R182" s="63"/>
      <c r="S182" s="65"/>
      <c r="T182" s="65"/>
      <c r="U182" s="65"/>
      <c r="V182" s="65"/>
      <c r="W182" s="65"/>
      <c r="X182" s="63"/>
      <c r="Y182" s="63"/>
    </row>
    <row r="183" spans="9:25" hidden="1" x14ac:dyDescent="0.35">
      <c r="I183" s="63"/>
      <c r="J183" s="63"/>
      <c r="K183" s="64"/>
      <c r="L183" s="63"/>
      <c r="M183" s="63"/>
      <c r="N183" s="63"/>
      <c r="O183" s="63"/>
      <c r="P183" s="63"/>
      <c r="Q183" s="63"/>
      <c r="R183" s="63"/>
      <c r="S183" s="65"/>
      <c r="T183" s="65"/>
      <c r="U183" s="65"/>
      <c r="V183" s="65"/>
      <c r="W183" s="65"/>
      <c r="X183" s="63"/>
      <c r="Y183" s="63"/>
    </row>
    <row r="184" spans="9:25" hidden="1" x14ac:dyDescent="0.35">
      <c r="I184" s="63"/>
      <c r="J184" s="63"/>
      <c r="K184" s="64"/>
      <c r="L184" s="63"/>
      <c r="M184" s="63"/>
      <c r="N184" s="63"/>
      <c r="O184" s="63"/>
      <c r="P184" s="63"/>
      <c r="Q184" s="63"/>
      <c r="R184" s="63"/>
      <c r="S184" s="65"/>
      <c r="T184" s="65"/>
      <c r="U184" s="65"/>
      <c r="V184" s="65"/>
      <c r="W184" s="65"/>
      <c r="X184" s="63"/>
      <c r="Y184" s="63"/>
    </row>
    <row r="185" spans="9:25" hidden="1" x14ac:dyDescent="0.35">
      <c r="I185" s="63"/>
      <c r="J185" s="63"/>
      <c r="K185" s="64"/>
      <c r="L185" s="63"/>
      <c r="M185" s="63"/>
      <c r="N185" s="63"/>
      <c r="O185" s="63"/>
      <c r="P185" s="63"/>
      <c r="Q185" s="63"/>
      <c r="R185" s="63"/>
      <c r="S185" s="65"/>
      <c r="T185" s="65"/>
      <c r="U185" s="65"/>
      <c r="V185" s="65"/>
      <c r="W185" s="65"/>
      <c r="X185" s="63"/>
      <c r="Y185" s="63"/>
    </row>
    <row r="186" spans="9:25" hidden="1" x14ac:dyDescent="0.35">
      <c r="I186" s="63"/>
      <c r="J186" s="63"/>
      <c r="K186" s="64"/>
      <c r="L186" s="63"/>
      <c r="M186" s="63"/>
      <c r="N186" s="63"/>
      <c r="O186" s="63"/>
      <c r="P186" s="63"/>
      <c r="Q186" s="63"/>
      <c r="R186" s="63"/>
      <c r="S186" s="65"/>
      <c r="T186" s="65"/>
      <c r="U186" s="65"/>
      <c r="V186" s="65"/>
      <c r="W186" s="65"/>
      <c r="X186" s="63"/>
      <c r="Y186" s="63"/>
    </row>
    <row r="187" spans="9:25" hidden="1" x14ac:dyDescent="0.35">
      <c r="I187" s="63"/>
      <c r="J187" s="63"/>
      <c r="K187" s="64"/>
      <c r="L187" s="63"/>
      <c r="M187" s="63"/>
      <c r="N187" s="63"/>
      <c r="O187" s="63"/>
      <c r="P187" s="63"/>
      <c r="Q187" s="63"/>
      <c r="R187" s="63"/>
      <c r="S187" s="65"/>
      <c r="T187" s="65"/>
      <c r="U187" s="65"/>
      <c r="V187" s="65"/>
      <c r="W187" s="65"/>
      <c r="X187" s="63"/>
      <c r="Y187" s="63"/>
    </row>
    <row r="188" spans="9:25" hidden="1" x14ac:dyDescent="0.35">
      <c r="I188" s="63"/>
      <c r="J188" s="63"/>
      <c r="K188" s="64"/>
      <c r="L188" s="63"/>
      <c r="M188" s="63"/>
      <c r="N188" s="63"/>
      <c r="O188" s="63"/>
      <c r="P188" s="63"/>
      <c r="Q188" s="63"/>
      <c r="R188" s="63"/>
      <c r="S188" s="65"/>
      <c r="T188" s="65"/>
      <c r="U188" s="65"/>
      <c r="V188" s="65"/>
      <c r="W188" s="65"/>
      <c r="X188" s="63"/>
      <c r="Y188" s="63"/>
    </row>
    <row r="189" spans="9:25" hidden="1" x14ac:dyDescent="0.35">
      <c r="I189" s="63"/>
      <c r="J189" s="63"/>
      <c r="K189" s="64"/>
      <c r="L189" s="63"/>
      <c r="M189" s="63"/>
      <c r="N189" s="63"/>
      <c r="O189" s="63"/>
      <c r="P189" s="63"/>
      <c r="Q189" s="63"/>
      <c r="R189" s="63"/>
      <c r="S189" s="65"/>
      <c r="T189" s="65"/>
      <c r="U189" s="65"/>
      <c r="V189" s="65"/>
      <c r="W189" s="65"/>
      <c r="X189" s="63"/>
      <c r="Y189" s="63"/>
    </row>
    <row r="190" spans="9:25" hidden="1" x14ac:dyDescent="0.35">
      <c r="I190" s="63"/>
      <c r="J190" s="63"/>
      <c r="K190" s="64"/>
      <c r="L190" s="63"/>
      <c r="M190" s="63"/>
      <c r="N190" s="63"/>
      <c r="O190" s="63"/>
      <c r="P190" s="63"/>
      <c r="Q190" s="63"/>
      <c r="R190" s="63"/>
      <c r="S190" s="65"/>
      <c r="T190" s="65"/>
      <c r="U190" s="65"/>
      <c r="V190" s="65"/>
      <c r="W190" s="65"/>
      <c r="X190" s="63"/>
      <c r="Y190" s="63"/>
    </row>
    <row r="191" spans="9:25" hidden="1" x14ac:dyDescent="0.35">
      <c r="I191" s="63"/>
      <c r="J191" s="63"/>
      <c r="K191" s="64"/>
      <c r="L191" s="63"/>
      <c r="M191" s="63"/>
      <c r="N191" s="63"/>
      <c r="O191" s="63"/>
      <c r="P191" s="63"/>
      <c r="Q191" s="63"/>
      <c r="R191" s="63"/>
      <c r="S191" s="65"/>
      <c r="T191" s="65"/>
      <c r="U191" s="65"/>
      <c r="V191" s="65"/>
      <c r="W191" s="65"/>
      <c r="X191" s="63"/>
      <c r="Y191" s="63"/>
    </row>
    <row r="192" spans="9:25" hidden="1" x14ac:dyDescent="0.35">
      <c r="I192" s="63"/>
      <c r="J192" s="63"/>
      <c r="K192" s="64"/>
      <c r="L192" s="63"/>
      <c r="M192" s="63"/>
      <c r="N192" s="63"/>
      <c r="O192" s="63"/>
      <c r="P192" s="63"/>
      <c r="Q192" s="63"/>
      <c r="R192" s="63"/>
      <c r="S192" s="65"/>
      <c r="T192" s="65"/>
      <c r="U192" s="65"/>
      <c r="V192" s="65"/>
      <c r="W192" s="65"/>
      <c r="X192" s="63"/>
      <c r="Y192" s="63"/>
    </row>
    <row r="193" spans="9:25" hidden="1" x14ac:dyDescent="0.35">
      <c r="I193" s="63"/>
      <c r="J193" s="63"/>
      <c r="K193" s="64"/>
      <c r="L193" s="63"/>
      <c r="M193" s="63"/>
      <c r="N193" s="63"/>
      <c r="O193" s="63"/>
      <c r="P193" s="63"/>
      <c r="Q193" s="63"/>
      <c r="R193" s="63"/>
      <c r="S193" s="65"/>
      <c r="T193" s="65"/>
      <c r="U193" s="65"/>
      <c r="V193" s="65"/>
      <c r="W193" s="65"/>
      <c r="X193" s="63"/>
      <c r="Y193" s="63"/>
    </row>
    <row r="194" spans="9:25" hidden="1" x14ac:dyDescent="0.35">
      <c r="I194" s="63"/>
      <c r="J194" s="63"/>
      <c r="K194" s="64"/>
      <c r="L194" s="63"/>
      <c r="M194" s="63"/>
      <c r="N194" s="63"/>
      <c r="O194" s="63"/>
      <c r="P194" s="63"/>
      <c r="Q194" s="63"/>
      <c r="R194" s="63"/>
      <c r="S194" s="65"/>
      <c r="T194" s="65"/>
      <c r="U194" s="65"/>
      <c r="V194" s="65"/>
      <c r="W194" s="65"/>
      <c r="X194" s="63"/>
      <c r="Y194" s="63"/>
    </row>
    <row r="195" spans="9:25" hidden="1" x14ac:dyDescent="0.35">
      <c r="I195" s="63"/>
      <c r="J195" s="63"/>
      <c r="K195" s="64"/>
      <c r="L195" s="63"/>
      <c r="M195" s="63"/>
      <c r="N195" s="63"/>
      <c r="O195" s="63"/>
      <c r="P195" s="63"/>
      <c r="Q195" s="63"/>
      <c r="R195" s="63"/>
      <c r="S195" s="65"/>
      <c r="T195" s="65"/>
      <c r="U195" s="65"/>
      <c r="V195" s="65"/>
      <c r="W195" s="65"/>
      <c r="X195" s="63"/>
      <c r="Y195" s="63"/>
    </row>
    <row r="196" spans="9:25" hidden="1" x14ac:dyDescent="0.35">
      <c r="I196" s="63"/>
      <c r="J196" s="63"/>
      <c r="K196" s="64"/>
      <c r="L196" s="63"/>
      <c r="M196" s="63"/>
      <c r="N196" s="63"/>
      <c r="O196" s="63"/>
      <c r="P196" s="63"/>
      <c r="Q196" s="63"/>
      <c r="R196" s="63"/>
      <c r="S196" s="65"/>
      <c r="T196" s="65"/>
      <c r="U196" s="65"/>
      <c r="V196" s="65"/>
      <c r="W196" s="65"/>
      <c r="X196" s="63"/>
      <c r="Y196" s="63"/>
    </row>
    <row r="197" spans="9:25" hidden="1" x14ac:dyDescent="0.35">
      <c r="I197" s="63"/>
      <c r="J197" s="63"/>
      <c r="K197" s="64"/>
      <c r="L197" s="63"/>
      <c r="M197" s="63"/>
      <c r="N197" s="63"/>
      <c r="O197" s="63"/>
      <c r="P197" s="63"/>
      <c r="Q197" s="63"/>
      <c r="R197" s="63"/>
      <c r="S197" s="65"/>
      <c r="T197" s="65"/>
      <c r="U197" s="65"/>
      <c r="V197" s="65"/>
      <c r="W197" s="65"/>
      <c r="X197" s="63"/>
      <c r="Y197" s="63"/>
    </row>
    <row r="198" spans="9:25" hidden="1" x14ac:dyDescent="0.35">
      <c r="I198" s="63"/>
      <c r="J198" s="63"/>
      <c r="K198" s="64"/>
      <c r="L198" s="63"/>
      <c r="M198" s="63"/>
      <c r="N198" s="63"/>
      <c r="O198" s="63"/>
      <c r="P198" s="63"/>
      <c r="Q198" s="63"/>
      <c r="R198" s="63"/>
      <c r="S198" s="65"/>
      <c r="T198" s="65"/>
      <c r="U198" s="65"/>
      <c r="V198" s="65"/>
      <c r="W198" s="65"/>
      <c r="X198" s="63"/>
      <c r="Y198" s="63"/>
    </row>
    <row r="199" spans="9:25" hidden="1" x14ac:dyDescent="0.35">
      <c r="I199" s="63"/>
      <c r="J199" s="63"/>
      <c r="K199" s="64"/>
      <c r="L199" s="63"/>
      <c r="M199" s="63"/>
      <c r="N199" s="63"/>
      <c r="O199" s="63"/>
      <c r="P199" s="63"/>
      <c r="Q199" s="63"/>
      <c r="R199" s="63"/>
      <c r="S199" s="65"/>
      <c r="T199" s="65"/>
      <c r="U199" s="65"/>
      <c r="V199" s="65"/>
      <c r="W199" s="65"/>
      <c r="X199" s="63"/>
      <c r="Y199" s="63"/>
    </row>
    <row r="200" spans="9:25" hidden="1" x14ac:dyDescent="0.35">
      <c r="I200" s="63"/>
      <c r="J200" s="63"/>
      <c r="K200" s="64"/>
      <c r="L200" s="63"/>
      <c r="M200" s="63"/>
      <c r="N200" s="63"/>
      <c r="O200" s="63"/>
      <c r="P200" s="63"/>
      <c r="Q200" s="63"/>
      <c r="R200" s="63"/>
      <c r="S200" s="65"/>
      <c r="T200" s="65"/>
      <c r="U200" s="65"/>
      <c r="V200" s="65"/>
      <c r="W200" s="65"/>
      <c r="X200" s="63"/>
      <c r="Y200" s="63"/>
    </row>
    <row r="201" spans="9:25" hidden="1" x14ac:dyDescent="0.35">
      <c r="I201" s="63"/>
      <c r="J201" s="63"/>
      <c r="K201" s="64"/>
      <c r="L201" s="63"/>
      <c r="M201" s="63"/>
      <c r="N201" s="63"/>
      <c r="O201" s="63"/>
      <c r="P201" s="63"/>
      <c r="Q201" s="63"/>
      <c r="R201" s="63"/>
      <c r="S201" s="65"/>
      <c r="T201" s="65"/>
      <c r="U201" s="65"/>
      <c r="V201" s="65"/>
      <c r="W201" s="65"/>
      <c r="X201" s="63"/>
      <c r="Y201" s="63"/>
    </row>
    <row r="202" spans="9:25" hidden="1" x14ac:dyDescent="0.35">
      <c r="I202" s="63"/>
      <c r="J202" s="63"/>
      <c r="K202" s="64"/>
      <c r="L202" s="63"/>
      <c r="M202" s="63"/>
      <c r="N202" s="63"/>
      <c r="O202" s="63"/>
      <c r="P202" s="63"/>
      <c r="Q202" s="63"/>
      <c r="R202" s="63"/>
      <c r="S202" s="65"/>
      <c r="T202" s="65"/>
      <c r="U202" s="65"/>
      <c r="V202" s="65"/>
      <c r="W202" s="65"/>
      <c r="X202" s="63"/>
      <c r="Y202" s="63"/>
    </row>
    <row r="203" spans="9:25" hidden="1" x14ac:dyDescent="0.35">
      <c r="I203" s="63"/>
      <c r="J203" s="63"/>
      <c r="K203" s="64"/>
      <c r="L203" s="63"/>
      <c r="M203" s="63"/>
      <c r="N203" s="63"/>
      <c r="O203" s="63"/>
      <c r="P203" s="63"/>
      <c r="Q203" s="63"/>
      <c r="R203" s="63"/>
      <c r="S203" s="65"/>
      <c r="T203" s="65"/>
      <c r="U203" s="65"/>
      <c r="V203" s="65"/>
      <c r="W203" s="65"/>
      <c r="X203" s="63"/>
      <c r="Y203" s="63"/>
    </row>
    <row r="204" spans="9:25" hidden="1" x14ac:dyDescent="0.35">
      <c r="I204" s="63"/>
      <c r="J204" s="63"/>
      <c r="K204" s="64"/>
      <c r="L204" s="63"/>
      <c r="M204" s="63"/>
      <c r="N204" s="63"/>
      <c r="O204" s="63"/>
      <c r="P204" s="63"/>
      <c r="Q204" s="63"/>
      <c r="R204" s="63"/>
      <c r="S204" s="65"/>
      <c r="T204" s="65"/>
      <c r="U204" s="65"/>
      <c r="V204" s="65"/>
      <c r="W204" s="65"/>
      <c r="X204" s="63"/>
      <c r="Y204" s="63"/>
    </row>
    <row r="205" spans="9:25" hidden="1" x14ac:dyDescent="0.35">
      <c r="I205" s="63"/>
      <c r="J205" s="63"/>
      <c r="K205" s="64"/>
      <c r="L205" s="63"/>
      <c r="M205" s="63"/>
      <c r="N205" s="63"/>
      <c r="O205" s="63"/>
      <c r="P205" s="63"/>
      <c r="Q205" s="63"/>
      <c r="R205" s="63"/>
      <c r="S205" s="65"/>
      <c r="T205" s="65"/>
      <c r="U205" s="65"/>
      <c r="V205" s="65"/>
      <c r="W205" s="65"/>
      <c r="X205" s="63"/>
      <c r="Y205" s="63"/>
    </row>
    <row r="206" spans="9:25" hidden="1" x14ac:dyDescent="0.35">
      <c r="I206" s="63"/>
      <c r="J206" s="63"/>
      <c r="K206" s="64"/>
      <c r="L206" s="63"/>
      <c r="M206" s="63"/>
      <c r="N206" s="63"/>
      <c r="O206" s="63"/>
      <c r="P206" s="63"/>
      <c r="Q206" s="63"/>
      <c r="R206" s="63"/>
      <c r="S206" s="65"/>
      <c r="T206" s="65"/>
      <c r="U206" s="65"/>
      <c r="V206" s="65"/>
      <c r="W206" s="65"/>
      <c r="X206" s="63"/>
      <c r="Y206" s="63"/>
    </row>
    <row r="207" spans="9:25" hidden="1" x14ac:dyDescent="0.35">
      <c r="I207" s="63"/>
      <c r="J207" s="63"/>
      <c r="K207" s="64"/>
      <c r="L207" s="63"/>
      <c r="M207" s="63"/>
      <c r="N207" s="63"/>
      <c r="O207" s="63"/>
      <c r="P207" s="63"/>
      <c r="Q207" s="63"/>
      <c r="R207" s="63"/>
      <c r="S207" s="65"/>
      <c r="T207" s="65"/>
      <c r="U207" s="65"/>
      <c r="V207" s="65"/>
      <c r="W207" s="65"/>
      <c r="X207" s="63"/>
      <c r="Y207" s="63"/>
    </row>
    <row r="208" spans="9:25" hidden="1" x14ac:dyDescent="0.35">
      <c r="I208" s="63"/>
      <c r="J208" s="63"/>
      <c r="K208" s="64"/>
      <c r="L208" s="63"/>
      <c r="M208" s="63"/>
      <c r="N208" s="63"/>
      <c r="O208" s="63"/>
      <c r="P208" s="63"/>
      <c r="Q208" s="63"/>
      <c r="R208" s="63"/>
      <c r="S208" s="65"/>
      <c r="T208" s="65"/>
      <c r="U208" s="65"/>
      <c r="V208" s="65"/>
      <c r="W208" s="65"/>
      <c r="X208" s="63"/>
      <c r="Y208" s="63"/>
    </row>
    <row r="209" spans="9:25" hidden="1" x14ac:dyDescent="0.35">
      <c r="I209" s="63"/>
      <c r="J209" s="63"/>
      <c r="K209" s="64"/>
      <c r="L209" s="63"/>
      <c r="M209" s="63"/>
      <c r="N209" s="63"/>
      <c r="O209" s="63"/>
      <c r="P209" s="63"/>
      <c r="Q209" s="63"/>
      <c r="R209" s="63"/>
      <c r="S209" s="65"/>
      <c r="T209" s="65"/>
      <c r="U209" s="65"/>
      <c r="V209" s="65"/>
      <c r="W209" s="65"/>
      <c r="X209" s="63"/>
      <c r="Y209" s="63"/>
    </row>
    <row r="210" spans="9:25" hidden="1" x14ac:dyDescent="0.35">
      <c r="I210" s="63"/>
      <c r="J210" s="63"/>
      <c r="K210" s="64"/>
      <c r="L210" s="63"/>
      <c r="M210" s="63"/>
      <c r="N210" s="63"/>
      <c r="O210" s="63"/>
      <c r="P210" s="63"/>
      <c r="Q210" s="63"/>
      <c r="R210" s="63"/>
      <c r="S210" s="65"/>
      <c r="T210" s="65"/>
      <c r="U210" s="65"/>
      <c r="V210" s="65"/>
      <c r="W210" s="65"/>
      <c r="X210" s="63"/>
      <c r="Y210" s="63"/>
    </row>
    <row r="211" spans="9:25" hidden="1" x14ac:dyDescent="0.35">
      <c r="I211" s="63"/>
      <c r="J211" s="63"/>
      <c r="K211" s="64"/>
      <c r="L211" s="63"/>
      <c r="M211" s="63"/>
      <c r="N211" s="63"/>
      <c r="O211" s="63"/>
      <c r="P211" s="63"/>
      <c r="Q211" s="63"/>
      <c r="R211" s="63"/>
      <c r="S211" s="65"/>
      <c r="T211" s="65"/>
      <c r="U211" s="65"/>
      <c r="V211" s="65"/>
      <c r="W211" s="65"/>
      <c r="X211" s="63"/>
      <c r="Y211" s="63"/>
    </row>
    <row r="212" spans="9:25" hidden="1" x14ac:dyDescent="0.35">
      <c r="I212" s="63"/>
      <c r="J212" s="63"/>
      <c r="K212" s="64"/>
      <c r="L212" s="63"/>
      <c r="M212" s="63"/>
      <c r="N212" s="63"/>
      <c r="O212" s="63"/>
      <c r="P212" s="63"/>
      <c r="Q212" s="63"/>
      <c r="R212" s="63"/>
      <c r="S212" s="65"/>
      <c r="T212" s="65"/>
      <c r="U212" s="65"/>
      <c r="V212" s="65"/>
      <c r="W212" s="65"/>
      <c r="X212" s="63"/>
      <c r="Y212" s="63"/>
    </row>
    <row r="213" spans="9:25" hidden="1" x14ac:dyDescent="0.35">
      <c r="I213" s="63"/>
      <c r="J213" s="63"/>
      <c r="K213" s="64"/>
      <c r="L213" s="63"/>
      <c r="M213" s="63"/>
      <c r="N213" s="63"/>
      <c r="O213" s="63"/>
      <c r="P213" s="63"/>
      <c r="Q213" s="63"/>
      <c r="R213" s="63"/>
      <c r="S213" s="65"/>
      <c r="T213" s="65"/>
      <c r="U213" s="65"/>
      <c r="V213" s="65"/>
      <c r="W213" s="65"/>
      <c r="X213" s="63"/>
      <c r="Y213" s="63"/>
    </row>
    <row r="214" spans="9:25" hidden="1" x14ac:dyDescent="0.35">
      <c r="I214" s="63"/>
      <c r="J214" s="63"/>
      <c r="K214" s="64"/>
      <c r="L214" s="63"/>
      <c r="M214" s="63"/>
      <c r="N214" s="63"/>
      <c r="O214" s="63"/>
      <c r="P214" s="63"/>
      <c r="Q214" s="63"/>
      <c r="R214" s="63"/>
      <c r="S214" s="65"/>
      <c r="T214" s="65"/>
      <c r="U214" s="65"/>
      <c r="V214" s="65"/>
      <c r="W214" s="65"/>
      <c r="X214" s="63"/>
      <c r="Y214" s="63"/>
    </row>
    <row r="215" spans="9:25" hidden="1" x14ac:dyDescent="0.35">
      <c r="I215" s="63"/>
      <c r="J215" s="63"/>
      <c r="K215" s="64"/>
      <c r="L215" s="63"/>
      <c r="M215" s="63"/>
      <c r="N215" s="63"/>
      <c r="O215" s="63"/>
      <c r="P215" s="63"/>
      <c r="Q215" s="63"/>
      <c r="R215" s="63"/>
      <c r="S215" s="65"/>
      <c r="T215" s="65"/>
      <c r="U215" s="65"/>
      <c r="V215" s="65"/>
      <c r="W215" s="65"/>
      <c r="X215" s="63"/>
      <c r="Y215" s="63"/>
    </row>
    <row r="216" spans="9:25" hidden="1" x14ac:dyDescent="0.35">
      <c r="I216" s="63"/>
      <c r="J216" s="63"/>
      <c r="K216" s="64"/>
      <c r="L216" s="63"/>
      <c r="M216" s="63"/>
      <c r="N216" s="63"/>
      <c r="O216" s="63"/>
      <c r="P216" s="63"/>
      <c r="Q216" s="63"/>
      <c r="R216" s="63"/>
      <c r="S216" s="65"/>
      <c r="T216" s="65"/>
      <c r="U216" s="65"/>
      <c r="V216" s="65"/>
      <c r="W216" s="65"/>
      <c r="X216" s="63"/>
      <c r="Y216" s="63"/>
    </row>
    <row r="217" spans="9:25" hidden="1" x14ac:dyDescent="0.35">
      <c r="I217" s="63"/>
      <c r="J217" s="63"/>
      <c r="K217" s="64"/>
      <c r="L217" s="63"/>
      <c r="M217" s="63"/>
      <c r="N217" s="63"/>
      <c r="O217" s="63"/>
      <c r="P217" s="63"/>
      <c r="Q217" s="63"/>
      <c r="R217" s="63"/>
      <c r="S217" s="65"/>
      <c r="T217" s="65"/>
      <c r="U217" s="65"/>
      <c r="V217" s="65"/>
      <c r="W217" s="65"/>
      <c r="X217" s="63"/>
      <c r="Y217" s="63"/>
    </row>
    <row r="218" spans="9:25" hidden="1" x14ac:dyDescent="0.35">
      <c r="I218" s="63"/>
      <c r="J218" s="63"/>
      <c r="K218" s="64"/>
      <c r="L218" s="63"/>
      <c r="M218" s="63"/>
      <c r="N218" s="63"/>
      <c r="O218" s="63"/>
      <c r="P218" s="63"/>
      <c r="Q218" s="63"/>
      <c r="R218" s="63"/>
      <c r="S218" s="65"/>
      <c r="T218" s="65"/>
      <c r="U218" s="65"/>
      <c r="V218" s="65"/>
      <c r="W218" s="65"/>
      <c r="X218" s="63"/>
      <c r="Y218" s="63"/>
    </row>
    <row r="219" spans="9:25" hidden="1" x14ac:dyDescent="0.35">
      <c r="I219" s="63"/>
      <c r="J219" s="63"/>
      <c r="K219" s="64"/>
      <c r="L219" s="63"/>
      <c r="M219" s="63"/>
      <c r="N219" s="63"/>
      <c r="O219" s="63"/>
      <c r="P219" s="63"/>
      <c r="Q219" s="63"/>
      <c r="R219" s="63"/>
      <c r="S219" s="65"/>
      <c r="T219" s="65"/>
      <c r="U219" s="65"/>
      <c r="V219" s="65"/>
      <c r="W219" s="65"/>
      <c r="X219" s="63"/>
      <c r="Y219" s="63"/>
    </row>
    <row r="220" spans="9:25" hidden="1" x14ac:dyDescent="0.35">
      <c r="I220" s="63"/>
      <c r="J220" s="63"/>
      <c r="K220" s="64"/>
      <c r="L220" s="63"/>
      <c r="M220" s="63"/>
      <c r="N220" s="63"/>
      <c r="O220" s="63"/>
      <c r="P220" s="63"/>
      <c r="Q220" s="63"/>
      <c r="R220" s="63"/>
      <c r="S220" s="65"/>
      <c r="T220" s="65"/>
      <c r="U220" s="65"/>
      <c r="V220" s="65"/>
      <c r="W220" s="65"/>
      <c r="X220" s="63"/>
      <c r="Y220" s="63"/>
    </row>
    <row r="221" spans="9:25" hidden="1" x14ac:dyDescent="0.35">
      <c r="I221" s="63"/>
      <c r="J221" s="63"/>
      <c r="K221" s="64"/>
      <c r="L221" s="63"/>
      <c r="M221" s="63"/>
      <c r="N221" s="63"/>
      <c r="O221" s="63"/>
      <c r="P221" s="63"/>
      <c r="Q221" s="63"/>
      <c r="R221" s="63"/>
      <c r="S221" s="65"/>
      <c r="T221" s="65"/>
      <c r="U221" s="65"/>
      <c r="V221" s="65"/>
      <c r="W221" s="65"/>
      <c r="X221" s="63"/>
      <c r="Y221" s="63"/>
    </row>
    <row r="222" spans="9:25" hidden="1" x14ac:dyDescent="0.35">
      <c r="I222" s="63"/>
      <c r="J222" s="63"/>
      <c r="K222" s="64"/>
      <c r="L222" s="63"/>
      <c r="M222" s="63"/>
      <c r="N222" s="63"/>
      <c r="O222" s="63"/>
      <c r="P222" s="63"/>
      <c r="Q222" s="63"/>
      <c r="R222" s="63"/>
      <c r="S222" s="65"/>
      <c r="T222" s="65"/>
      <c r="U222" s="65"/>
      <c r="V222" s="65"/>
      <c r="W222" s="65"/>
      <c r="X222" s="63"/>
      <c r="Y222" s="63"/>
    </row>
    <row r="223" spans="9:25" hidden="1" x14ac:dyDescent="0.35">
      <c r="I223" s="63"/>
      <c r="J223" s="63"/>
      <c r="K223" s="64"/>
      <c r="L223" s="63"/>
      <c r="M223" s="63"/>
      <c r="N223" s="63"/>
      <c r="O223" s="63"/>
      <c r="P223" s="63"/>
      <c r="Q223" s="63"/>
      <c r="R223" s="63"/>
      <c r="S223" s="65"/>
      <c r="T223" s="65"/>
      <c r="U223" s="65"/>
      <c r="V223" s="65"/>
      <c r="W223" s="65"/>
      <c r="X223" s="63"/>
      <c r="Y223" s="63"/>
    </row>
    <row r="224" spans="9:25" hidden="1" x14ac:dyDescent="0.35">
      <c r="I224" s="63"/>
      <c r="J224" s="63"/>
      <c r="K224" s="64"/>
      <c r="L224" s="63"/>
      <c r="M224" s="63"/>
      <c r="N224" s="63"/>
      <c r="O224" s="63"/>
      <c r="P224" s="63"/>
      <c r="Q224" s="63"/>
      <c r="R224" s="63"/>
      <c r="S224" s="65"/>
      <c r="T224" s="65"/>
      <c r="U224" s="65"/>
      <c r="V224" s="65"/>
      <c r="W224" s="65"/>
      <c r="X224" s="63"/>
      <c r="Y224" s="63"/>
    </row>
    <row r="225" spans="1:25" hidden="1" x14ac:dyDescent="0.35">
      <c r="I225" s="63"/>
      <c r="J225" s="63"/>
      <c r="K225" s="64"/>
      <c r="L225" s="63"/>
      <c r="M225" s="63"/>
      <c r="N225" s="63"/>
      <c r="O225" s="63"/>
      <c r="P225" s="63"/>
      <c r="Q225" s="63"/>
      <c r="R225" s="63"/>
      <c r="S225" s="65"/>
      <c r="T225" s="65"/>
      <c r="U225" s="65"/>
      <c r="V225" s="65"/>
      <c r="W225" s="65"/>
      <c r="X225" s="63"/>
      <c r="Y225" s="63"/>
    </row>
    <row r="226" spans="1:25" hidden="1" x14ac:dyDescent="0.35">
      <c r="I226" s="63"/>
      <c r="J226" s="63"/>
      <c r="K226" s="64"/>
      <c r="L226" s="63"/>
      <c r="M226" s="63"/>
      <c r="N226" s="63"/>
      <c r="O226" s="63"/>
      <c r="P226" s="63"/>
      <c r="Q226" s="63"/>
      <c r="R226" s="63"/>
      <c r="S226" s="65"/>
      <c r="T226" s="65"/>
      <c r="U226" s="65"/>
      <c r="V226" s="65"/>
      <c r="W226" s="65"/>
      <c r="X226" s="63"/>
      <c r="Y226" s="63"/>
    </row>
    <row r="227" spans="1:25" hidden="1" x14ac:dyDescent="0.35">
      <c r="I227" s="63"/>
      <c r="J227" s="63"/>
      <c r="K227" s="64"/>
      <c r="L227" s="63"/>
      <c r="M227" s="63"/>
      <c r="N227" s="63"/>
      <c r="O227" s="63"/>
      <c r="P227" s="63"/>
      <c r="Q227" s="63"/>
      <c r="R227" s="63"/>
      <c r="S227" s="65"/>
      <c r="T227" s="65"/>
      <c r="U227" s="65"/>
      <c r="V227" s="65"/>
      <c r="W227" s="65"/>
      <c r="X227" s="63"/>
      <c r="Y227" s="63"/>
    </row>
    <row r="228" spans="1:25" hidden="1" x14ac:dyDescent="0.35">
      <c r="I228" s="63"/>
      <c r="J228" s="63"/>
      <c r="K228" s="64"/>
      <c r="L228" s="63"/>
      <c r="M228" s="63"/>
      <c r="N228" s="63"/>
      <c r="O228" s="63"/>
      <c r="P228" s="63"/>
      <c r="Q228" s="63"/>
      <c r="R228" s="63"/>
      <c r="S228" s="65"/>
      <c r="T228" s="65"/>
      <c r="U228" s="65"/>
      <c r="V228" s="65"/>
      <c r="W228" s="65"/>
      <c r="X228" s="63"/>
      <c r="Y228" s="63"/>
    </row>
    <row r="229" spans="1:25" hidden="1" x14ac:dyDescent="0.35">
      <c r="I229" s="63"/>
      <c r="J229" s="63"/>
      <c r="K229" s="64"/>
      <c r="L229" s="63"/>
      <c r="M229" s="63"/>
      <c r="N229" s="63"/>
      <c r="O229" s="63"/>
      <c r="P229" s="63"/>
      <c r="Q229" s="63"/>
      <c r="R229" s="63"/>
      <c r="S229" s="65"/>
      <c r="T229" s="65"/>
      <c r="U229" s="65"/>
      <c r="V229" s="65"/>
      <c r="W229" s="65"/>
      <c r="X229" s="63"/>
      <c r="Y229" s="63"/>
    </row>
    <row r="230" spans="1:25" hidden="1" x14ac:dyDescent="0.35">
      <c r="I230" s="63"/>
      <c r="J230" s="63"/>
      <c r="K230" s="64"/>
      <c r="L230" s="63"/>
      <c r="M230" s="63"/>
      <c r="N230" s="63"/>
      <c r="O230" s="63"/>
      <c r="P230" s="63"/>
      <c r="Q230" s="63"/>
      <c r="R230" s="63"/>
      <c r="S230" s="65"/>
      <c r="T230" s="65"/>
      <c r="U230" s="65"/>
      <c r="V230" s="65"/>
      <c r="W230" s="65"/>
      <c r="X230" s="63"/>
      <c r="Y230" s="63"/>
    </row>
    <row r="231" spans="1:25" hidden="1" x14ac:dyDescent="0.35">
      <c r="I231" s="63"/>
      <c r="J231" s="63"/>
      <c r="K231" s="64"/>
      <c r="L231" s="63"/>
      <c r="M231" s="63"/>
      <c r="N231" s="63"/>
      <c r="O231" s="63"/>
      <c r="P231" s="63"/>
      <c r="Q231" s="63"/>
      <c r="R231" s="63"/>
      <c r="S231" s="65"/>
      <c r="T231" s="65"/>
      <c r="U231" s="65"/>
      <c r="V231" s="65"/>
      <c r="W231" s="65"/>
      <c r="X231" s="63"/>
      <c r="Y231" s="63"/>
    </row>
    <row r="232" spans="1:25" hidden="1" x14ac:dyDescent="0.35">
      <c r="I232" s="63"/>
      <c r="J232" s="63"/>
      <c r="K232" s="64"/>
      <c r="L232" s="63"/>
      <c r="M232" s="63"/>
      <c r="N232" s="63"/>
      <c r="O232" s="63"/>
      <c r="P232" s="63"/>
      <c r="Q232" s="63"/>
      <c r="R232" s="63"/>
      <c r="S232" s="65"/>
      <c r="T232" s="65"/>
      <c r="U232" s="65"/>
      <c r="V232" s="65"/>
      <c r="W232" s="65"/>
      <c r="X232" s="63"/>
      <c r="Y232" s="63"/>
    </row>
    <row r="233" spans="1:25" hidden="1" x14ac:dyDescent="0.35">
      <c r="I233" s="63"/>
      <c r="J233" s="63"/>
      <c r="K233" s="64"/>
      <c r="L233" s="63"/>
      <c r="M233" s="63"/>
      <c r="N233" s="63"/>
      <c r="O233" s="63"/>
      <c r="P233" s="63"/>
      <c r="Q233" s="63"/>
      <c r="R233" s="63"/>
      <c r="S233" s="65"/>
      <c r="T233" s="65"/>
      <c r="U233" s="65"/>
      <c r="V233" s="65"/>
      <c r="W233" s="65"/>
      <c r="X233" s="63"/>
      <c r="Y233" s="63"/>
    </row>
    <row r="234" spans="1:25" x14ac:dyDescent="0.35">
      <c r="A234" s="62"/>
      <c r="B234" s="63"/>
      <c r="C234" s="63"/>
      <c r="D234" s="63"/>
      <c r="E234" s="63"/>
      <c r="F234" s="62"/>
      <c r="G234" s="63"/>
      <c r="H234" s="63"/>
      <c r="I234" s="63"/>
      <c r="J234" s="63"/>
      <c r="K234" s="64"/>
      <c r="L234" s="63"/>
      <c r="M234" s="63"/>
      <c r="N234" s="63"/>
      <c r="O234" s="63"/>
      <c r="P234" s="63"/>
      <c r="Q234" s="63"/>
      <c r="R234" s="63"/>
      <c r="S234" s="65"/>
      <c r="T234" s="65"/>
      <c r="U234" s="65"/>
      <c r="V234" s="65"/>
      <c r="W234" s="65"/>
      <c r="X234" s="63"/>
      <c r="Y234" s="63"/>
    </row>
    <row r="235" spans="1:25" x14ac:dyDescent="0.35">
      <c r="A235" s="62"/>
      <c r="B235" s="63"/>
      <c r="C235" s="63"/>
      <c r="D235" s="63"/>
      <c r="E235" s="63"/>
      <c r="F235" s="62"/>
      <c r="G235" s="63"/>
      <c r="H235" s="63"/>
      <c r="I235" s="63"/>
      <c r="J235" s="63"/>
      <c r="K235" s="64"/>
      <c r="L235" s="63"/>
      <c r="M235" s="63"/>
      <c r="N235" s="63"/>
      <c r="O235" s="63"/>
      <c r="P235" s="63"/>
      <c r="Q235" s="63"/>
      <c r="R235" s="63"/>
      <c r="S235" s="65"/>
      <c r="T235" s="65"/>
      <c r="U235" s="65"/>
      <c r="V235" s="65"/>
      <c r="W235" s="65"/>
      <c r="X235" s="63"/>
      <c r="Y235" s="63"/>
    </row>
  </sheetData>
  <mergeCells count="35">
    <mergeCell ref="K7:K8"/>
    <mergeCell ref="L7:O7"/>
    <mergeCell ref="A1:H1"/>
    <mergeCell ref="A2:H2"/>
    <mergeCell ref="B4:G5"/>
    <mergeCell ref="K4:O5"/>
    <mergeCell ref="K6:O6"/>
    <mergeCell ref="G49:G50"/>
    <mergeCell ref="K10:K20"/>
    <mergeCell ref="B16:B19"/>
    <mergeCell ref="B21:G22"/>
    <mergeCell ref="B23:B24"/>
    <mergeCell ref="C23:F24"/>
    <mergeCell ref="G23:G24"/>
    <mergeCell ref="K23:O23"/>
    <mergeCell ref="B33:B38"/>
    <mergeCell ref="B44:B45"/>
    <mergeCell ref="C44:F45"/>
    <mergeCell ref="B49:B50"/>
    <mergeCell ref="C49:F50"/>
    <mergeCell ref="G101:G102"/>
    <mergeCell ref="B59:B64"/>
    <mergeCell ref="B70:B71"/>
    <mergeCell ref="C70:F71"/>
    <mergeCell ref="B75:B76"/>
    <mergeCell ref="C75:F76"/>
    <mergeCell ref="G75:G76"/>
    <mergeCell ref="B111:B116"/>
    <mergeCell ref="B122:B123"/>
    <mergeCell ref="C122:F123"/>
    <mergeCell ref="B85:B90"/>
    <mergeCell ref="B96:B97"/>
    <mergeCell ref="C96:F97"/>
    <mergeCell ref="B101:B102"/>
    <mergeCell ref="C101:F102"/>
  </mergeCells>
  <conditionalFormatting sqref="C25">
    <cfRule type="duplicateValues" dxfId="3" priority="7"/>
  </conditionalFormatting>
  <conditionalFormatting sqref="O25:O28">
    <cfRule type="expression" dxfId="2" priority="5">
      <formula>N25&lt;M25</formula>
    </cfRule>
    <cfRule type="expression" dxfId="1" priority="6">
      <formula>N25&gt;M25</formula>
    </cfRule>
  </conditionalFormatting>
  <conditionalFormatting sqref="L10:O20">
    <cfRule type="expression" dxfId="0" priority="1">
      <formula>ISNUMBER( MATCH( $L$10, $C$33:$F$38, 0 ) )</formula>
    </cfRule>
  </conditionalFormatting>
  <dataValidations count="8">
    <dataValidation type="list" allowBlank="1" showInputMessage="1" showErrorMessage="1" sqref="C26 C52 C78 C104" xr:uid="{D93ABE6E-7A43-4827-AD04-7F7D1B578BFA}">
      <formula1>CT_APPLICATION_tb</formula1>
    </dataValidation>
    <dataValidation type="list" allowBlank="1" showInputMessage="1" showErrorMessage="1" sqref="C30 C108 C82 C56" xr:uid="{F44797E5-0A15-4999-BE79-4463886F79DF}">
      <formula1>$AS$11:$AS$13</formula1>
    </dataValidation>
    <dataValidation type="list" allowBlank="1" showInputMessage="1" showErrorMessage="1" sqref="C27 C105 C79 C53" xr:uid="{F81B60A5-1D6A-4671-8E4A-2F7AFF7CD477}">
      <formula1>$AQ$11:$AQ$12</formula1>
    </dataValidation>
    <dataValidation type="list" allowBlank="1" showInputMessage="1" showErrorMessage="1" sqref="C29 C107 C81 C55" xr:uid="{0D29DF89-DD8D-4C70-A9DB-147C021E01F7}">
      <formula1>$AM$11:$AM$12</formula1>
    </dataValidation>
    <dataValidation type="list" allowBlank="1" showInputMessage="1" showErrorMessage="1" sqref="C42 C120 C94 C68" xr:uid="{6F8941CD-2E3B-49EC-B5EA-9572EFA85040}">
      <formula1>$AN$11:$AN$13</formula1>
    </dataValidation>
    <dataValidation type="list" allowBlank="1" showInputMessage="1" showErrorMessage="1" sqref="D15" xr:uid="{B24986B5-96F6-400A-88EB-A435EB0CF1ED}">
      <formula1>$AL$11:$AL$12</formula1>
    </dataValidation>
    <dataValidation type="list" allowBlank="1" showInputMessage="1" showErrorMessage="1" sqref="D14" xr:uid="{CB768D43-B50B-443D-B5D1-1F9DA338B123}">
      <formula1>$AK$11:$AK$13</formula1>
    </dataValidation>
    <dataValidation type="list" allowBlank="1" showInputMessage="1" showErrorMessage="1" sqref="F26 F104 F78 F52" xr:uid="{7BC687F5-4D4A-40F6-8DAE-B73B07165397}">
      <formula1>$AH$11:$AH$15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BFE13-A744-4DBA-A6A5-BF7C405C3D7A}">
  <sheetPr codeName="Sheet2"/>
  <dimension ref="A1:AE88"/>
  <sheetViews>
    <sheetView topLeftCell="A5" zoomScale="55" zoomScaleNormal="55" workbookViewId="0">
      <selection activeCell="H19" sqref="H19"/>
    </sheetView>
  </sheetViews>
  <sheetFormatPr defaultColWidth="20.1796875" defaultRowHeight="14.5" x14ac:dyDescent="0.35"/>
  <cols>
    <col min="1" max="2" width="20.1796875" style="104"/>
    <col min="3" max="3" width="20.1796875" style="104" customWidth="1"/>
    <col min="4" max="8" width="20.1796875" style="104"/>
    <col min="9" max="9" width="7.26953125" style="104" customWidth="1"/>
    <col min="10" max="16384" width="20.1796875" style="104"/>
  </cols>
  <sheetData>
    <row r="1" spans="1:31" x14ac:dyDescent="0.35">
      <c r="A1" s="136"/>
      <c r="B1" s="136"/>
      <c r="C1" s="136"/>
      <c r="D1" s="136"/>
      <c r="E1" s="136"/>
      <c r="F1" s="136"/>
      <c r="G1" s="136"/>
      <c r="H1" s="136"/>
    </row>
    <row r="2" spans="1:31" x14ac:dyDescent="0.35">
      <c r="A2" s="136"/>
      <c r="B2" s="136"/>
      <c r="C2" s="136"/>
      <c r="D2" s="136"/>
      <c r="E2" s="136"/>
      <c r="F2" s="136"/>
      <c r="G2" s="136"/>
      <c r="H2" s="136"/>
      <c r="AD2" s="105" t="s">
        <v>137</v>
      </c>
      <c r="AE2" s="105" t="s">
        <v>128</v>
      </c>
    </row>
    <row r="3" spans="1:31" ht="14.5" customHeight="1" x14ac:dyDescent="0.35">
      <c r="A3" s="258" t="s">
        <v>83</v>
      </c>
      <c r="B3" s="259"/>
      <c r="C3" s="259"/>
      <c r="D3" s="259"/>
      <c r="E3" s="259"/>
      <c r="F3" s="259"/>
      <c r="G3" s="260"/>
      <c r="H3" s="154"/>
      <c r="J3" s="248" t="s">
        <v>169</v>
      </c>
      <c r="K3" s="248"/>
      <c r="L3" s="248"/>
      <c r="M3" s="248"/>
      <c r="N3" s="248"/>
      <c r="O3" s="248"/>
      <c r="P3" s="248"/>
      <c r="AD3" s="105" t="s">
        <v>138</v>
      </c>
      <c r="AE3" s="105" t="s">
        <v>129</v>
      </c>
    </row>
    <row r="4" spans="1:31" ht="15" thickBot="1" x14ac:dyDescent="0.4">
      <c r="A4" s="261"/>
      <c r="B4" s="262"/>
      <c r="C4" s="262"/>
      <c r="D4" s="262"/>
      <c r="E4" s="262"/>
      <c r="F4" s="262"/>
      <c r="G4" s="263"/>
      <c r="H4" s="166"/>
      <c r="J4" s="248"/>
      <c r="K4" s="248"/>
      <c r="L4" s="248"/>
      <c r="M4" s="248"/>
      <c r="N4" s="248"/>
      <c r="O4" s="248"/>
      <c r="P4" s="248"/>
      <c r="AD4" s="105" t="s">
        <v>139</v>
      </c>
      <c r="AE4" s="105" t="s">
        <v>130</v>
      </c>
    </row>
    <row r="5" spans="1:31" ht="15" thickBot="1" x14ac:dyDescent="0.4">
      <c r="A5" s="159"/>
      <c r="B5" s="168"/>
      <c r="C5" s="169"/>
      <c r="D5" s="169"/>
      <c r="E5" s="169"/>
      <c r="F5" s="170"/>
      <c r="G5" s="160"/>
      <c r="H5" s="166"/>
      <c r="J5" s="107"/>
      <c r="K5" s="249" t="s">
        <v>81</v>
      </c>
      <c r="L5" s="250"/>
      <c r="M5" s="250"/>
      <c r="N5" s="250"/>
      <c r="O5" s="251"/>
      <c r="P5" s="107"/>
      <c r="AE5" s="105" t="s">
        <v>133</v>
      </c>
    </row>
    <row r="6" spans="1:31" x14ac:dyDescent="0.35">
      <c r="A6" s="159"/>
      <c r="B6" s="153" t="s">
        <v>132</v>
      </c>
      <c r="C6" s="155" t="s">
        <v>138</v>
      </c>
      <c r="D6" s="145" t="str">
        <f>Input_Data_HV_CTs!D7</f>
        <v>N22154</v>
      </c>
      <c r="E6" s="155" t="s">
        <v>140</v>
      </c>
      <c r="F6" s="257" t="e" vm="1">
        <v>#VALUE!</v>
      </c>
      <c r="G6" s="160"/>
      <c r="H6" s="166"/>
      <c r="J6" s="107"/>
      <c r="K6" s="252" t="s">
        <v>98</v>
      </c>
      <c r="L6" s="254"/>
      <c r="M6" s="255"/>
      <c r="N6" s="255"/>
      <c r="O6" s="256"/>
      <c r="P6" s="107"/>
    </row>
    <row r="7" spans="1:31" ht="15" thickBot="1" x14ac:dyDescent="0.4">
      <c r="A7" s="159"/>
      <c r="B7" s="153" t="s">
        <v>127</v>
      </c>
      <c r="C7" s="136"/>
      <c r="D7" s="154" t="s">
        <v>129</v>
      </c>
      <c r="E7" s="136"/>
      <c r="F7" s="257"/>
      <c r="G7" s="160"/>
      <c r="H7" s="167"/>
      <c r="J7" s="107"/>
      <c r="K7" s="253"/>
      <c r="L7" s="108"/>
      <c r="M7" s="109"/>
      <c r="N7" s="109"/>
      <c r="O7" s="110"/>
      <c r="P7" s="107"/>
    </row>
    <row r="8" spans="1:31" ht="15" thickBot="1" x14ac:dyDescent="0.4">
      <c r="A8" s="159"/>
      <c r="B8" s="153" t="s">
        <v>136</v>
      </c>
      <c r="C8" s="265" t="str">
        <f>IF(D7="Meramec","jward@hubbell.com",IF(D7="Multicast","multicast@myaccess.ca", IF(D7="Polycast","Sales@polycast.ca")))</f>
        <v>jward@hubbell.com</v>
      </c>
      <c r="D8" s="266"/>
      <c r="E8" s="267"/>
      <c r="F8" s="257"/>
      <c r="G8" s="161"/>
      <c r="H8" s="138"/>
      <c r="J8" s="107"/>
      <c r="K8" s="111"/>
      <c r="L8" s="112" t="s">
        <v>35</v>
      </c>
      <c r="M8" s="113" t="s">
        <v>6</v>
      </c>
      <c r="N8" s="113" t="s">
        <v>7</v>
      </c>
      <c r="O8" s="114" t="s">
        <v>8</v>
      </c>
      <c r="P8" s="107"/>
    </row>
    <row r="9" spans="1:31" ht="17" customHeight="1" x14ac:dyDescent="0.35">
      <c r="A9" s="159"/>
      <c r="B9" s="153" t="s">
        <v>131</v>
      </c>
      <c r="C9" s="264" t="str">
        <f>"CT QUOTATION REQUEST ~ "&amp;C6&amp;D6&amp;"_"&amp;E6</f>
        <v>CT QUOTATION REQUEST ~ NN22154_R0</v>
      </c>
      <c r="D9" s="264"/>
      <c r="E9" s="264"/>
      <c r="F9" s="257"/>
      <c r="G9" s="161"/>
      <c r="H9" s="138"/>
      <c r="J9" s="107"/>
      <c r="K9" s="241" t="s">
        <v>93</v>
      </c>
      <c r="L9" s="115" t="str">
        <f>Input_Data_HV_CTs!L10</f>
        <v/>
      </c>
      <c r="M9" s="115" t="str">
        <f>Input_Data_HV_CTs!M10</f>
        <v>CT1D-H11</v>
      </c>
      <c r="N9" s="115" t="str">
        <f>Input_Data_HV_CTs!N10</f>
        <v>CT1D-H21</v>
      </c>
      <c r="O9" s="116" t="str">
        <f>Input_Data_HV_CTs!O10</f>
        <v>CT1D-H31</v>
      </c>
      <c r="P9" s="107"/>
    </row>
    <row r="10" spans="1:31" x14ac:dyDescent="0.35">
      <c r="A10" s="159"/>
      <c r="B10" s="153"/>
      <c r="C10" s="136"/>
      <c r="D10" s="136"/>
      <c r="E10" s="136"/>
      <c r="F10" s="171"/>
      <c r="G10" s="161"/>
      <c r="H10" s="138"/>
      <c r="J10" s="107"/>
      <c r="K10" s="242"/>
      <c r="L10" s="196">
        <f>Input_Data_HV_CTs!L11</f>
        <v>0</v>
      </c>
      <c r="M10" s="115" t="str">
        <f>Input_Data_HV_CTs!M11</f>
        <v>CT1O-H11</v>
      </c>
      <c r="N10" s="115" t="str">
        <f>Input_Data_HV_CTs!N11</f>
        <v>CT1O-H21</v>
      </c>
      <c r="O10" s="116" t="str">
        <f>Input_Data_HV_CTs!O11</f>
        <v>CT1O-H31</v>
      </c>
      <c r="P10" s="107"/>
    </row>
    <row r="11" spans="1:31" ht="15" thickBot="1" x14ac:dyDescent="0.4">
      <c r="A11" s="159"/>
      <c r="B11" s="156"/>
      <c r="C11" s="157"/>
      <c r="D11" s="157"/>
      <c r="E11" s="157"/>
      <c r="F11" s="172"/>
      <c r="G11" s="161"/>
      <c r="H11" s="138"/>
      <c r="J11" s="107"/>
      <c r="K11" s="242"/>
      <c r="L11" s="115">
        <f>Input_Data_HV_CTs!L12</f>
        <v>0</v>
      </c>
      <c r="M11" s="115" t="str">
        <f>Input_Data_HV_CTs!M12</f>
        <v>CT2-H11</v>
      </c>
      <c r="N11" s="115" t="str">
        <f>Input_Data_HV_CTs!N12</f>
        <v>CT2-H21</v>
      </c>
      <c r="O11" s="116" t="str">
        <f>Input_Data_HV_CTs!O12</f>
        <v>CT2-H31</v>
      </c>
      <c r="P11" s="107"/>
    </row>
    <row r="12" spans="1:31" x14ac:dyDescent="0.35">
      <c r="A12" s="159"/>
      <c r="B12" s="158"/>
      <c r="C12" s="158"/>
      <c r="D12" s="158"/>
      <c r="E12" s="158"/>
      <c r="F12" s="158"/>
      <c r="G12" s="162"/>
      <c r="H12" s="138"/>
      <c r="J12" s="107"/>
      <c r="K12" s="242"/>
      <c r="L12" s="115">
        <f>Input_Data_HV_CTs!L13</f>
        <v>0</v>
      </c>
      <c r="M12" s="115">
        <f>Input_Data_HV_CTs!M13</f>
        <v>0</v>
      </c>
      <c r="N12" s="115" t="str">
        <f>Input_Data_HV_CTs!N13</f>
        <v>CT5-H21</v>
      </c>
      <c r="O12" s="116">
        <f>Input_Data_HV_CTs!O13</f>
        <v>0</v>
      </c>
      <c r="P12" s="107"/>
    </row>
    <row r="13" spans="1:31" x14ac:dyDescent="0.35">
      <c r="A13" s="245" t="s">
        <v>134</v>
      </c>
      <c r="B13" s="246"/>
      <c r="C13" s="246"/>
      <c r="D13" s="246"/>
      <c r="E13" s="246"/>
      <c r="F13" s="246"/>
      <c r="G13" s="247"/>
      <c r="H13" s="138"/>
      <c r="J13" s="107"/>
      <c r="K13" s="242"/>
      <c r="L13" s="115">
        <f>Input_Data_HV_CTs!L14</f>
        <v>0</v>
      </c>
      <c r="M13" s="115">
        <f>Input_Data_HV_CTs!M14</f>
        <v>0</v>
      </c>
      <c r="N13" s="115">
        <f>Input_Data_HV_CTs!N14</f>
        <v>0</v>
      </c>
      <c r="O13" s="116">
        <f>Input_Data_HV_CTs!O14</f>
        <v>0</v>
      </c>
      <c r="P13" s="107"/>
    </row>
    <row r="14" spans="1:31" ht="15" thickBot="1" x14ac:dyDescent="0.4">
      <c r="A14" s="163"/>
      <c r="B14" s="138"/>
      <c r="C14" s="138"/>
      <c r="D14" s="138"/>
      <c r="E14" s="164"/>
      <c r="F14" s="138"/>
      <c r="G14" s="161"/>
      <c r="H14" s="138"/>
      <c r="J14" s="107"/>
      <c r="K14" s="242"/>
      <c r="L14" s="115">
        <f>Input_Data_HV_CTs!L15</f>
        <v>0</v>
      </c>
      <c r="M14" s="115">
        <f>Input_Data_HV_CTs!M15</f>
        <v>0</v>
      </c>
      <c r="N14" s="115">
        <f>Input_Data_HV_CTs!N15</f>
        <v>0</v>
      </c>
      <c r="O14" s="116">
        <f>Input_Data_HV_CTs!O15</f>
        <v>0</v>
      </c>
      <c r="P14" s="107"/>
    </row>
    <row r="15" spans="1:31" ht="14.5" customHeight="1" x14ac:dyDescent="0.35">
      <c r="A15" s="163"/>
      <c r="B15" s="139" t="s">
        <v>82</v>
      </c>
      <c r="C15" s="140" t="str">
        <f>Input_Data_HV_CTs!L30</f>
        <v>CT1D</v>
      </c>
      <c r="D15" s="141" t="str">
        <f>Input_Data_HV_CTs!M30</f>
        <v>CT1O</v>
      </c>
      <c r="E15" s="141" t="str">
        <f>Input_Data_HV_CTs!N30</f>
        <v>CT2</v>
      </c>
      <c r="F15" s="142" t="str">
        <f>Input_Data_HV_CTs!O30</f>
        <v>CT5</v>
      </c>
      <c r="G15" s="161"/>
      <c r="H15" s="138"/>
      <c r="J15" s="107"/>
      <c r="K15" s="242"/>
      <c r="L15" s="115">
        <f>Input_Data_HV_CTs!L16</f>
        <v>0</v>
      </c>
      <c r="M15" s="115">
        <f>Input_Data_HV_CTs!M16</f>
        <v>0</v>
      </c>
      <c r="N15" s="115">
        <f>Input_Data_HV_CTs!N16</f>
        <v>0</v>
      </c>
      <c r="O15" s="116">
        <f>Input_Data_HV_CTs!O16</f>
        <v>0</v>
      </c>
      <c r="P15" s="107"/>
    </row>
    <row r="16" spans="1:31" x14ac:dyDescent="0.35">
      <c r="A16" s="163"/>
      <c r="B16" s="143" t="s">
        <v>20</v>
      </c>
      <c r="C16" s="144" t="str">
        <f>Input_Data_HV_CTs!L31</f>
        <v>300/200/100 MR</v>
      </c>
      <c r="D16" s="145" t="str">
        <f>Input_Data_HV_CTs!M31</f>
        <v>300/200/100 MR</v>
      </c>
      <c r="E16" s="145" t="str">
        <f>Input_Data_HV_CTs!N31</f>
        <v>800/600/200 MR</v>
      </c>
      <c r="F16" s="146" t="str">
        <f>Input_Data_HV_CTs!O31</f>
        <v xml:space="preserve">SR 190 : 5 </v>
      </c>
      <c r="G16" s="161"/>
      <c r="H16" s="138"/>
      <c r="J16" s="107"/>
      <c r="K16" s="242"/>
      <c r="L16" s="115">
        <f>Input_Data_HV_CTs!L17</f>
        <v>0</v>
      </c>
      <c r="M16" s="115">
        <f>Input_Data_HV_CTs!M17</f>
        <v>0</v>
      </c>
      <c r="N16" s="115">
        <f>Input_Data_HV_CTs!N17</f>
        <v>0</v>
      </c>
      <c r="O16" s="116">
        <f>Input_Data_HV_CTs!O17</f>
        <v>0</v>
      </c>
      <c r="P16" s="107"/>
    </row>
    <row r="17" spans="1:16" x14ac:dyDescent="0.35">
      <c r="A17" s="163"/>
      <c r="B17" s="143" t="s">
        <v>21</v>
      </c>
      <c r="C17" s="144" t="str">
        <f>Input_Data_HV_CTs!L32</f>
        <v xml:space="preserve">10L200 @ 300/200/100: 5 </v>
      </c>
      <c r="D17" s="145" t="str">
        <f>Input_Data_HV_CTs!M32</f>
        <v xml:space="preserve">10L200 @ 300/200/100: 5 </v>
      </c>
      <c r="E17" s="145" t="str">
        <f>Input_Data_HV_CTs!N32</f>
        <v xml:space="preserve">10L400 @ 800/600/200: 5 </v>
      </c>
      <c r="F17" s="146" t="str">
        <f>Input_Data_HV_CTs!O32</f>
        <v>10L20</v>
      </c>
      <c r="G17" s="161"/>
      <c r="H17" s="138"/>
      <c r="J17" s="107"/>
      <c r="K17" s="242"/>
      <c r="L17" s="115">
        <f>Input_Data_HV_CTs!L18</f>
        <v>0</v>
      </c>
      <c r="M17" s="115">
        <f>Input_Data_HV_CTs!M18</f>
        <v>0</v>
      </c>
      <c r="N17" s="115">
        <f>Input_Data_HV_CTs!N18</f>
        <v>0</v>
      </c>
      <c r="O17" s="116">
        <f>Input_Data_HV_CTs!O18</f>
        <v>0</v>
      </c>
      <c r="P17" s="107"/>
    </row>
    <row r="18" spans="1:16" x14ac:dyDescent="0.35">
      <c r="A18" s="163"/>
      <c r="B18" s="143" t="s">
        <v>22</v>
      </c>
      <c r="C18" s="144">
        <f>Input_Data_HV_CTs!L33</f>
        <v>60</v>
      </c>
      <c r="D18" s="145">
        <f>Input_Data_HV_CTs!M33</f>
        <v>60</v>
      </c>
      <c r="E18" s="145">
        <f>Input_Data_HV_CTs!N33</f>
        <v>60</v>
      </c>
      <c r="F18" s="146">
        <f>Input_Data_HV_CTs!O33</f>
        <v>60</v>
      </c>
      <c r="G18" s="161"/>
      <c r="H18" s="138"/>
      <c r="J18" s="107"/>
      <c r="K18" s="242"/>
      <c r="L18" s="115">
        <f>Input_Data_HV_CTs!L19</f>
        <v>0</v>
      </c>
      <c r="M18" s="115">
        <f>Input_Data_HV_CTs!M19</f>
        <v>0</v>
      </c>
      <c r="N18" s="115">
        <f>Input_Data_HV_CTs!N19</f>
        <v>0</v>
      </c>
      <c r="O18" s="116">
        <f>Input_Data_HV_CTs!O19</f>
        <v>0</v>
      </c>
      <c r="P18" s="107"/>
    </row>
    <row r="19" spans="1:16" ht="29" x14ac:dyDescent="0.35">
      <c r="A19" s="163"/>
      <c r="B19" s="143" t="s">
        <v>117</v>
      </c>
      <c r="C19" s="144" t="str">
        <f>Input_Data_HV_CTs!L34</f>
        <v>5"</v>
      </c>
      <c r="D19" s="145" t="str">
        <f>Input_Data_HV_CTs!M34</f>
        <v>5"</v>
      </c>
      <c r="E19" s="145" t="str">
        <f>Input_Data_HV_CTs!N34</f>
        <v>5"</v>
      </c>
      <c r="F19" s="146" t="str">
        <f>Input_Data_HV_CTs!O34</f>
        <v>5"</v>
      </c>
      <c r="G19" s="165"/>
      <c r="H19" s="138"/>
      <c r="J19" s="107"/>
      <c r="K19" s="242"/>
      <c r="L19" s="115">
        <f>Input_Data_HV_CTs!L20</f>
        <v>0</v>
      </c>
      <c r="M19" s="115">
        <f>Input_Data_HV_CTs!M20</f>
        <v>0</v>
      </c>
      <c r="N19" s="115">
        <f>Input_Data_HV_CTs!N20</f>
        <v>0</v>
      </c>
      <c r="O19" s="116">
        <f>Input_Data_HV_CTs!O20</f>
        <v>0</v>
      </c>
      <c r="P19" s="107"/>
    </row>
    <row r="20" spans="1:16" x14ac:dyDescent="0.35">
      <c r="A20" s="163"/>
      <c r="B20" s="143" t="s">
        <v>118</v>
      </c>
      <c r="C20" s="144" t="str">
        <f>Input_Data_HV_CTs!L35</f>
        <v>Per Supplier design.</v>
      </c>
      <c r="D20" s="145" t="str">
        <f>Input_Data_HV_CTs!M35</f>
        <v>Per Supplier design.</v>
      </c>
      <c r="E20" s="145" t="str">
        <f>Input_Data_HV_CTs!N35</f>
        <v>Per Supplier design.</v>
      </c>
      <c r="F20" s="146" t="str">
        <f>Input_Data_HV_CTs!O35</f>
        <v>Per Supplier design.</v>
      </c>
      <c r="G20" s="165"/>
      <c r="H20" s="138"/>
      <c r="J20" s="107"/>
      <c r="K20" s="111"/>
      <c r="L20" s="117"/>
      <c r="M20" s="117"/>
      <c r="N20" s="117"/>
      <c r="O20" s="118"/>
      <c r="P20" s="107"/>
    </row>
    <row r="21" spans="1:16" ht="15" thickBot="1" x14ac:dyDescent="0.4">
      <c r="A21" s="163"/>
      <c r="B21" s="143" t="s">
        <v>92</v>
      </c>
      <c r="C21" s="144">
        <f>Input_Data_HV_CTs!L36</f>
        <v>4</v>
      </c>
      <c r="D21" s="145">
        <f>Input_Data_HV_CTs!M36</f>
        <v>4</v>
      </c>
      <c r="E21" s="145">
        <f>Input_Data_HV_CTs!N36</f>
        <v>4</v>
      </c>
      <c r="F21" s="146">
        <f>Input_Data_HV_CTs!O36</f>
        <v>4</v>
      </c>
      <c r="G21" s="165"/>
      <c r="H21" s="138"/>
      <c r="J21" s="107"/>
      <c r="K21" s="119"/>
      <c r="L21" s="120"/>
      <c r="M21" s="120"/>
      <c r="N21" s="120"/>
      <c r="O21" s="121"/>
      <c r="P21" s="107"/>
    </row>
    <row r="22" spans="1:16" ht="14.5" customHeight="1" x14ac:dyDescent="0.35">
      <c r="A22" s="163"/>
      <c r="B22" s="147" t="s">
        <v>91</v>
      </c>
      <c r="C22" s="144">
        <f>Input_Data_HV_CTs!L37</f>
        <v>2</v>
      </c>
      <c r="D22" s="145">
        <f>Input_Data_HV_CTs!M37</f>
        <v>2</v>
      </c>
      <c r="E22" s="145">
        <f>Input_Data_HV_CTs!N37</f>
        <v>2</v>
      </c>
      <c r="F22" s="146">
        <f>Input_Data_HV_CTs!O37</f>
        <v>2</v>
      </c>
      <c r="G22" s="165"/>
      <c r="H22" s="136"/>
      <c r="J22" s="107"/>
      <c r="K22" s="106"/>
      <c r="L22" s="122"/>
      <c r="M22" s="122"/>
      <c r="N22" s="122"/>
      <c r="O22" s="123"/>
      <c r="P22" s="124"/>
    </row>
    <row r="23" spans="1:16" ht="29.5" thickBot="1" x14ac:dyDescent="0.4">
      <c r="A23" s="163"/>
      <c r="B23" s="143" t="s">
        <v>97</v>
      </c>
      <c r="C23" s="144" t="str">
        <f>Input_Data_HV_CTs!L38</f>
        <v>#10 Tefzel, 24 ft Long</v>
      </c>
      <c r="D23" s="145" t="str">
        <f>Input_Data_HV_CTs!M38</f>
        <v>#10 Tefzel, 24 ft Long</v>
      </c>
      <c r="E23" s="145" t="str">
        <f>Input_Data_HV_CTs!N38</f>
        <v>#10 Tefzel, 24 ft Long</v>
      </c>
      <c r="F23" s="146" t="str">
        <f>Input_Data_HV_CTs!O38</f>
        <v>#10 Tefzel, 24 ft Long</v>
      </c>
      <c r="G23" s="165"/>
      <c r="H23" s="136"/>
      <c r="J23" s="107"/>
      <c r="K23" s="111"/>
      <c r="L23" s="125" t="s">
        <v>111</v>
      </c>
      <c r="M23" s="125" t="s">
        <v>110</v>
      </c>
      <c r="N23" s="125" t="s">
        <v>109</v>
      </c>
      <c r="O23" s="126" t="s">
        <v>116</v>
      </c>
      <c r="P23" s="107"/>
    </row>
    <row r="24" spans="1:16" ht="26" customHeight="1" x14ac:dyDescent="0.35">
      <c r="A24" s="163"/>
      <c r="B24" s="148" t="s">
        <v>98</v>
      </c>
      <c r="C24" s="144" t="str">
        <f>Input_Data_HV_CTs!L39</f>
        <v>This CT is intended for use inside a transformer filled with mineral oil.</v>
      </c>
      <c r="D24" s="145" t="str">
        <f>Input_Data_HV_CTs!M39</f>
        <v>This CT is intended for use inside a transformer filled with mineral oil.</v>
      </c>
      <c r="E24" s="145" t="str">
        <f>Input_Data_HV_CTs!N39</f>
        <v>This CT is intended for use inside a transformer filled with mineral oil.</v>
      </c>
      <c r="F24" s="146" t="str">
        <f>Input_Data_HV_CTs!O39</f>
        <v>This CT is intended for use inside a transformer filled with mineral oil.</v>
      </c>
      <c r="G24" s="165"/>
      <c r="H24" s="136"/>
      <c r="J24" s="107"/>
      <c r="K24" s="268" t="s">
        <v>126</v>
      </c>
      <c r="L24" s="127" t="str">
        <f>Input_Data_HV_CTs!L25</f>
        <v>Ø H0</v>
      </c>
      <c r="M24" s="128">
        <f>Input_Data_HV_CTs!M25</f>
        <v>0.75</v>
      </c>
      <c r="N24" s="128">
        <f>Input_Data_HV_CTs!N25</f>
        <v>0</v>
      </c>
      <c r="O24" s="129" t="str">
        <f>Input_Data_HV_CTs!O25</f>
        <v>-</v>
      </c>
      <c r="P24" s="107"/>
    </row>
    <row r="25" spans="1:16" x14ac:dyDescent="0.35">
      <c r="A25" s="163"/>
      <c r="B25" s="148" t="s">
        <v>0</v>
      </c>
      <c r="C25" s="144" t="str">
        <f>Input_Data_HV_CTs!L40</f>
        <v>Differential CT</v>
      </c>
      <c r="D25" s="145" t="str">
        <f>Input_Data_HV_CTs!M40</f>
        <v>Overcurrent CT</v>
      </c>
      <c r="E25" s="145" t="str">
        <f>Input_Data_HV_CTs!N40</f>
        <v>Instantaneous Overcurrent</v>
      </c>
      <c r="F25" s="146" t="str">
        <f>Input_Data_HV_CTs!O40</f>
        <v>HV WTI CT</v>
      </c>
      <c r="G25" s="165"/>
      <c r="H25" s="136"/>
      <c r="J25" s="107"/>
      <c r="K25" s="268"/>
      <c r="L25" s="130" t="str">
        <f>Input_Data_HV_CTs!L26</f>
        <v>Ø H1</v>
      </c>
      <c r="M25" s="131">
        <f>Input_Data_HV_CTs!M26</f>
        <v>13.125</v>
      </c>
      <c r="N25" s="131">
        <f>Input_Data_HV_CTs!N26</f>
        <v>18</v>
      </c>
      <c r="O25" s="132" t="str">
        <f>Input_Data_HV_CTs!O26</f>
        <v>All CTs Fit</v>
      </c>
      <c r="P25" s="107"/>
    </row>
    <row r="26" spans="1:16" x14ac:dyDescent="0.35">
      <c r="A26" s="163"/>
      <c r="B26" s="148" t="s">
        <v>35</v>
      </c>
      <c r="C26" s="144">
        <f>Input_Data_HV_CTs!L41</f>
        <v>0</v>
      </c>
      <c r="D26" s="145">
        <f>Input_Data_HV_CTs!M41</f>
        <v>0</v>
      </c>
      <c r="E26" s="145">
        <f>Input_Data_HV_CTs!N41</f>
        <v>0</v>
      </c>
      <c r="F26" s="146">
        <f>Input_Data_HV_CTs!O41</f>
        <v>0</v>
      </c>
      <c r="G26" s="165"/>
      <c r="H26" s="136"/>
      <c r="J26" s="107"/>
      <c r="K26" s="268"/>
      <c r="L26" s="130" t="str">
        <f>Input_Data_HV_CTs!L27</f>
        <v>Ø H2</v>
      </c>
      <c r="M26" s="131">
        <f>Input_Data_HV_CTs!M27</f>
        <v>17.25</v>
      </c>
      <c r="N26" s="131">
        <f>Input_Data_HV_CTs!N27</f>
        <v>18</v>
      </c>
      <c r="O26" s="132" t="str">
        <f>Input_Data_HV_CTs!O27</f>
        <v>All CTs Fit</v>
      </c>
      <c r="P26" s="107"/>
    </row>
    <row r="27" spans="1:16" ht="15" thickBot="1" x14ac:dyDescent="0.4">
      <c r="A27" s="163"/>
      <c r="B27" s="148" t="s">
        <v>6</v>
      </c>
      <c r="C27" s="144">
        <f>Input_Data_HV_CTs!L42</f>
        <v>1</v>
      </c>
      <c r="D27" s="145">
        <f>Input_Data_HV_CTs!M42</f>
        <v>1</v>
      </c>
      <c r="E27" s="145">
        <f>Input_Data_HV_CTs!N42</f>
        <v>1</v>
      </c>
      <c r="F27" s="146">
        <f>Input_Data_HV_CTs!O42</f>
        <v>0</v>
      </c>
      <c r="G27" s="165"/>
      <c r="H27" s="136"/>
      <c r="J27" s="107"/>
      <c r="K27" s="269"/>
      <c r="L27" s="133" t="str">
        <f>Input_Data_HV_CTs!L28</f>
        <v>Ø H3</v>
      </c>
      <c r="M27" s="134">
        <f>Input_Data_HV_CTs!M28</f>
        <v>13.125</v>
      </c>
      <c r="N27" s="134">
        <f>Input_Data_HV_CTs!N28</f>
        <v>18</v>
      </c>
      <c r="O27" s="135" t="str">
        <f>Input_Data_HV_CTs!O28</f>
        <v>All CTs Fit</v>
      </c>
      <c r="P27" s="107"/>
    </row>
    <row r="28" spans="1:16" x14ac:dyDescent="0.35">
      <c r="A28" s="163"/>
      <c r="B28" s="148" t="s">
        <v>7</v>
      </c>
      <c r="C28" s="144">
        <f>Input_Data_HV_CTs!L43</f>
        <v>1</v>
      </c>
      <c r="D28" s="145">
        <f>Input_Data_HV_CTs!M43</f>
        <v>1</v>
      </c>
      <c r="E28" s="145">
        <f>Input_Data_HV_CTs!N43</f>
        <v>1</v>
      </c>
      <c r="F28" s="146">
        <f>Input_Data_HV_CTs!O43</f>
        <v>1</v>
      </c>
      <c r="G28" s="165"/>
      <c r="H28" s="136"/>
      <c r="J28" s="137"/>
      <c r="K28" s="137"/>
      <c r="L28" s="137"/>
      <c r="M28" s="137"/>
      <c r="N28" s="137"/>
      <c r="O28" s="137"/>
      <c r="P28" s="137"/>
    </row>
    <row r="29" spans="1:16" x14ac:dyDescent="0.35">
      <c r="A29" s="163"/>
      <c r="B29" s="148" t="s">
        <v>8</v>
      </c>
      <c r="C29" s="144">
        <f>Input_Data_HV_CTs!L44</f>
        <v>1</v>
      </c>
      <c r="D29" s="145">
        <f>Input_Data_HV_CTs!M44</f>
        <v>1</v>
      </c>
      <c r="E29" s="145">
        <f>Input_Data_HV_CTs!N44</f>
        <v>1</v>
      </c>
      <c r="F29" s="146">
        <f>Input_Data_HV_CTs!O44</f>
        <v>0</v>
      </c>
      <c r="G29" s="165"/>
      <c r="H29" s="136"/>
    </row>
    <row r="30" spans="1:16" x14ac:dyDescent="0.35">
      <c r="A30" s="163"/>
      <c r="B30" s="148" t="s">
        <v>104</v>
      </c>
      <c r="C30" s="144">
        <f>Input_Data_HV_CTs!L45</f>
        <v>3</v>
      </c>
      <c r="D30" s="145">
        <f>Input_Data_HV_CTs!M45</f>
        <v>3</v>
      </c>
      <c r="E30" s="145">
        <f>Input_Data_HV_CTs!N45</f>
        <v>3</v>
      </c>
      <c r="F30" s="146">
        <f>Input_Data_HV_CTs!O45</f>
        <v>1</v>
      </c>
      <c r="G30" s="165"/>
      <c r="H30" s="136"/>
      <c r="J30" s="248" t="s">
        <v>170</v>
      </c>
      <c r="K30" s="248"/>
      <c r="L30" s="248"/>
      <c r="M30" s="248"/>
      <c r="N30" s="248"/>
      <c r="O30" s="248"/>
      <c r="P30" s="248"/>
    </row>
    <row r="31" spans="1:16" ht="29.5" thickBot="1" x14ac:dyDescent="0.4">
      <c r="A31" s="163"/>
      <c r="B31" s="149"/>
      <c r="C31" s="150">
        <f>Input_Data_HV_CTs!L46</f>
        <v>0</v>
      </c>
      <c r="D31" s="151">
        <f>Input_Data_HV_CTs!M46</f>
        <v>0</v>
      </c>
      <c r="E31" s="151" t="str">
        <f>Input_Data_HV_CTs!N46</f>
        <v>Total number of HV CTs</v>
      </c>
      <c r="F31" s="152">
        <f>Input_Data_HV_CTs!O46</f>
        <v>10</v>
      </c>
      <c r="G31" s="165"/>
      <c r="H31" s="136"/>
      <c r="J31" s="248"/>
      <c r="K31" s="248"/>
      <c r="L31" s="248"/>
      <c r="M31" s="248"/>
      <c r="N31" s="248"/>
      <c r="O31" s="248"/>
      <c r="P31" s="248"/>
    </row>
    <row r="32" spans="1:16" ht="15" thickBot="1" x14ac:dyDescent="0.4">
      <c r="A32" s="163"/>
      <c r="B32" s="138"/>
      <c r="C32" s="138"/>
      <c r="D32" s="138"/>
      <c r="E32" s="164"/>
      <c r="F32" s="138"/>
      <c r="G32" s="165"/>
      <c r="H32" s="136"/>
      <c r="J32" s="107"/>
      <c r="K32" s="249" t="s">
        <v>154</v>
      </c>
      <c r="L32" s="250"/>
      <c r="M32" s="250"/>
      <c r="N32" s="250"/>
      <c r="O32" s="251"/>
      <c r="P32" s="107"/>
    </row>
    <row r="33" spans="1:16" x14ac:dyDescent="0.35">
      <c r="A33" s="245" t="s">
        <v>135</v>
      </c>
      <c r="B33" s="246"/>
      <c r="C33" s="246"/>
      <c r="D33" s="246"/>
      <c r="E33" s="246"/>
      <c r="F33" s="246"/>
      <c r="G33" s="247"/>
      <c r="H33" s="136"/>
      <c r="J33" s="107"/>
      <c r="K33" s="252" t="s">
        <v>98</v>
      </c>
      <c r="L33" s="254"/>
      <c r="M33" s="255"/>
      <c r="N33" s="255"/>
      <c r="O33" s="256"/>
      <c r="P33" s="107"/>
    </row>
    <row r="34" spans="1:16" ht="15" thickBot="1" x14ac:dyDescent="0.4">
      <c r="A34" s="163"/>
      <c r="B34" s="138"/>
      <c r="C34" s="138"/>
      <c r="D34" s="138"/>
      <c r="E34" s="164"/>
      <c r="F34" s="138"/>
      <c r="G34" s="161"/>
      <c r="H34" s="136"/>
      <c r="J34" s="107"/>
      <c r="K34" s="253"/>
      <c r="L34" s="108"/>
      <c r="M34" s="109"/>
      <c r="N34" s="109"/>
      <c r="O34" s="110"/>
      <c r="P34" s="107"/>
    </row>
    <row r="35" spans="1:16" ht="15" thickBot="1" x14ac:dyDescent="0.4">
      <c r="A35" s="163"/>
      <c r="B35" s="139" t="s">
        <v>82</v>
      </c>
      <c r="C35" s="140" t="str">
        <f>Input_Data_LV_CTs!L30</f>
        <v>CT3</v>
      </c>
      <c r="D35" s="141" t="str">
        <f>Input_Data_LV_CTs!M30</f>
        <v>CT4</v>
      </c>
      <c r="E35" s="141" t="str">
        <f>Input_Data_LV_CTs!N30</f>
        <v>CT6</v>
      </c>
      <c r="F35" s="142" t="str">
        <f>Input_Data_LV_CTs!O30</f>
        <v>CT7</v>
      </c>
      <c r="G35" s="161"/>
      <c r="H35" s="136"/>
      <c r="J35" s="107"/>
      <c r="K35" s="111"/>
      <c r="L35" s="112" t="s">
        <v>89</v>
      </c>
      <c r="M35" s="113" t="s">
        <v>146</v>
      </c>
      <c r="N35" s="113" t="s">
        <v>148</v>
      </c>
      <c r="O35" s="114" t="s">
        <v>150</v>
      </c>
      <c r="P35" s="107"/>
    </row>
    <row r="36" spans="1:16" x14ac:dyDescent="0.35">
      <c r="A36" s="163"/>
      <c r="B36" s="143" t="s">
        <v>20</v>
      </c>
      <c r="C36" s="144" t="str">
        <f>Input_Data_LV_CTs!L31</f>
        <v>1600/1200/800/400 MR</v>
      </c>
      <c r="D36" s="145" t="str">
        <f>Input_Data_LV_CTs!M31</f>
        <v>2000 MR</v>
      </c>
      <c r="E36" s="145" t="str">
        <f>Input_Data_LV_CTs!N31</f>
        <v xml:space="preserve">SR 1030 : 5 </v>
      </c>
      <c r="F36" s="146" t="str">
        <f>Input_Data_LV_CTs!O31</f>
        <v xml:space="preserve">SR 1030 : 5 </v>
      </c>
      <c r="G36" s="161"/>
      <c r="H36" s="136"/>
      <c r="J36" s="107"/>
      <c r="K36" s="241" t="s">
        <v>93</v>
      </c>
      <c r="L36" s="115" t="str">
        <f>Input_Data_LV_CTs!L10</f>
        <v/>
      </c>
      <c r="M36" s="115" t="str">
        <f>Input_Data_LV_CTs!M10</f>
        <v>CT3-X11</v>
      </c>
      <c r="N36" s="115" t="str">
        <f>Input_Data_LV_CTs!N10</f>
        <v>CT3-X21</v>
      </c>
      <c r="O36" s="115" t="str">
        <f>Input_Data_LV_CTs!O10</f>
        <v>CT3-X31</v>
      </c>
      <c r="P36" s="107"/>
    </row>
    <row r="37" spans="1:16" x14ac:dyDescent="0.35">
      <c r="A37" s="163"/>
      <c r="B37" s="143" t="s">
        <v>21</v>
      </c>
      <c r="C37" s="144" t="str">
        <f>Input_Data_LV_CTs!L32</f>
        <v xml:space="preserve">0.3B1.8 @ 1600/1200/800/400: 5 </v>
      </c>
      <c r="D37" s="145" t="str">
        <f>Input_Data_LV_CTs!M32</f>
        <v xml:space="preserve">10L400 @ 2000: 5 </v>
      </c>
      <c r="E37" s="145" t="str">
        <f>Input_Data_LV_CTs!N32</f>
        <v>10L20</v>
      </c>
      <c r="F37" s="146" t="str">
        <f>Input_Data_LV_CTs!O32</f>
        <v>10L20</v>
      </c>
      <c r="G37" s="161"/>
      <c r="H37" s="136"/>
      <c r="J37" s="107"/>
      <c r="K37" s="242"/>
      <c r="L37" s="115">
        <f>Input_Data_LV_CTs!L11</f>
        <v>0</v>
      </c>
      <c r="M37" s="115" t="str">
        <f>Input_Data_LV_CTs!M11</f>
        <v>CT4-X11</v>
      </c>
      <c r="N37" s="115" t="str">
        <f>Input_Data_LV_CTs!N11</f>
        <v>CT4-X21</v>
      </c>
      <c r="O37" s="115" t="str">
        <f>Input_Data_LV_CTs!O11</f>
        <v>CT4-X31</v>
      </c>
      <c r="P37" s="107"/>
    </row>
    <row r="38" spans="1:16" x14ac:dyDescent="0.35">
      <c r="A38" s="163"/>
      <c r="B38" s="143" t="s">
        <v>22</v>
      </c>
      <c r="C38" s="144">
        <f>Input_Data_LV_CTs!L33</f>
        <v>60</v>
      </c>
      <c r="D38" s="145">
        <f>Input_Data_LV_CTs!M33</f>
        <v>60</v>
      </c>
      <c r="E38" s="145">
        <f>Input_Data_LV_CTs!N33</f>
        <v>60</v>
      </c>
      <c r="F38" s="146">
        <f>Input_Data_LV_CTs!O33</f>
        <v>60</v>
      </c>
      <c r="G38" s="161"/>
      <c r="H38" s="136"/>
      <c r="J38" s="107"/>
      <c r="K38" s="242"/>
      <c r="L38" s="115">
        <f>Input_Data_LV_CTs!L12</f>
        <v>0</v>
      </c>
      <c r="M38" s="115" t="str">
        <f>Input_Data_LV_CTs!M12</f>
        <v>CT7-X11</v>
      </c>
      <c r="N38" s="115" t="str">
        <f>Input_Data_LV_CTs!N12</f>
        <v>CT6-X21</v>
      </c>
      <c r="O38" s="115">
        <f>Input_Data_LV_CTs!O12</f>
        <v>0</v>
      </c>
      <c r="P38" s="107"/>
    </row>
    <row r="39" spans="1:16" ht="29" x14ac:dyDescent="0.35">
      <c r="A39" s="163"/>
      <c r="B39" s="143" t="s">
        <v>117</v>
      </c>
      <c r="C39" s="144" t="str">
        <f>Input_Data_LV_CTs!L34</f>
        <v>5"</v>
      </c>
      <c r="D39" s="145" t="str">
        <f>Input_Data_LV_CTs!M34</f>
        <v>5"</v>
      </c>
      <c r="E39" s="145" t="str">
        <f>Input_Data_LV_CTs!N34</f>
        <v>5"</v>
      </c>
      <c r="F39" s="146" t="str">
        <f>Input_Data_LV_CTs!O34</f>
        <v>5"</v>
      </c>
      <c r="G39" s="165"/>
      <c r="H39" s="136"/>
      <c r="J39" s="107"/>
      <c r="K39" s="242"/>
      <c r="L39" s="115">
        <f>Input_Data_LV_CTs!L13</f>
        <v>0</v>
      </c>
      <c r="M39" s="115">
        <f>Input_Data_LV_CTs!M13</f>
        <v>0</v>
      </c>
      <c r="N39" s="115">
        <f>Input_Data_LV_CTs!N13</f>
        <v>0</v>
      </c>
      <c r="O39" s="115">
        <f>Input_Data_LV_CTs!O13</f>
        <v>0</v>
      </c>
      <c r="P39" s="107"/>
    </row>
    <row r="40" spans="1:16" x14ac:dyDescent="0.35">
      <c r="A40" s="163"/>
      <c r="B40" s="143" t="s">
        <v>118</v>
      </c>
      <c r="C40" s="144" t="str">
        <f>Input_Data_LV_CTs!L35</f>
        <v>Per Supplier design.</v>
      </c>
      <c r="D40" s="145" t="str">
        <f>Input_Data_LV_CTs!M35</f>
        <v>Per Supplier design.</v>
      </c>
      <c r="E40" s="145" t="str">
        <f>Input_Data_LV_CTs!N35</f>
        <v>Per Supplier design.</v>
      </c>
      <c r="F40" s="146" t="str">
        <f>Input_Data_LV_CTs!O35</f>
        <v>Per Supplier design.</v>
      </c>
      <c r="G40" s="165"/>
      <c r="H40" s="136"/>
      <c r="J40" s="107"/>
      <c r="K40" s="242"/>
      <c r="L40" s="115">
        <f>Input_Data_LV_CTs!L14</f>
        <v>0</v>
      </c>
      <c r="M40" s="115">
        <f>Input_Data_LV_CTs!M14</f>
        <v>0</v>
      </c>
      <c r="N40" s="115">
        <f>Input_Data_LV_CTs!N14</f>
        <v>0</v>
      </c>
      <c r="O40" s="115">
        <f>Input_Data_LV_CTs!O14</f>
        <v>0</v>
      </c>
      <c r="P40" s="107"/>
    </row>
    <row r="41" spans="1:16" x14ac:dyDescent="0.35">
      <c r="A41" s="163"/>
      <c r="B41" s="143" t="s">
        <v>92</v>
      </c>
      <c r="C41" s="144">
        <f>Input_Data_LV_CTs!L36</f>
        <v>4</v>
      </c>
      <c r="D41" s="145">
        <f>Input_Data_LV_CTs!M36</f>
        <v>4</v>
      </c>
      <c r="E41" s="145">
        <f>Input_Data_LV_CTs!N36</f>
        <v>4</v>
      </c>
      <c r="F41" s="146">
        <f>Input_Data_LV_CTs!O36</f>
        <v>4</v>
      </c>
      <c r="G41" s="165"/>
      <c r="H41" s="136"/>
      <c r="J41" s="107"/>
      <c r="K41" s="242"/>
      <c r="L41" s="115">
        <f>Input_Data_LV_CTs!L15</f>
        <v>0</v>
      </c>
      <c r="M41" s="115">
        <f>Input_Data_LV_CTs!M15</f>
        <v>0</v>
      </c>
      <c r="N41" s="115">
        <f>Input_Data_LV_CTs!N15</f>
        <v>0</v>
      </c>
      <c r="O41" s="115">
        <f>Input_Data_LV_CTs!O15</f>
        <v>0</v>
      </c>
      <c r="P41" s="107"/>
    </row>
    <row r="42" spans="1:16" x14ac:dyDescent="0.35">
      <c r="A42" s="163"/>
      <c r="B42" s="147" t="s">
        <v>91</v>
      </c>
      <c r="C42" s="144">
        <f>Input_Data_LV_CTs!L37</f>
        <v>2</v>
      </c>
      <c r="D42" s="145">
        <f>Input_Data_LV_CTs!M37</f>
        <v>2</v>
      </c>
      <c r="E42" s="145">
        <f>Input_Data_LV_CTs!N37</f>
        <v>2</v>
      </c>
      <c r="F42" s="146">
        <f>Input_Data_LV_CTs!O37</f>
        <v>2</v>
      </c>
      <c r="G42" s="165"/>
      <c r="H42" s="136"/>
      <c r="J42" s="107"/>
      <c r="K42" s="242"/>
      <c r="L42" s="115">
        <f>Input_Data_LV_CTs!L16</f>
        <v>0</v>
      </c>
      <c r="M42" s="115">
        <f>Input_Data_LV_CTs!M16</f>
        <v>0</v>
      </c>
      <c r="N42" s="115">
        <f>Input_Data_LV_CTs!N16</f>
        <v>0</v>
      </c>
      <c r="O42" s="115">
        <f>Input_Data_LV_CTs!O16</f>
        <v>0</v>
      </c>
      <c r="P42" s="107"/>
    </row>
    <row r="43" spans="1:16" ht="29" x14ac:dyDescent="0.35">
      <c r="A43" s="163"/>
      <c r="B43" s="143" t="s">
        <v>97</v>
      </c>
      <c r="C43" s="144" t="str">
        <f>Input_Data_LV_CTs!L38</f>
        <v>#10 Tefzel, 24 ft Long</v>
      </c>
      <c r="D43" s="145" t="str">
        <f>Input_Data_LV_CTs!M38</f>
        <v>#10 Tefzel, 24 ft Long</v>
      </c>
      <c r="E43" s="145" t="str">
        <f>Input_Data_LV_CTs!N38</f>
        <v>#10 Tefzel, 24 ft Long</v>
      </c>
      <c r="F43" s="146" t="str">
        <f>Input_Data_LV_CTs!O38</f>
        <v>#10 Tefzel, 24 ft Long</v>
      </c>
      <c r="G43" s="165"/>
      <c r="H43" s="136"/>
      <c r="J43" s="107"/>
      <c r="K43" s="242"/>
      <c r="L43" s="115">
        <f>Input_Data_LV_CTs!L17</f>
        <v>0</v>
      </c>
      <c r="M43" s="115">
        <f>Input_Data_LV_CTs!M17</f>
        <v>0</v>
      </c>
      <c r="N43" s="115">
        <f>Input_Data_LV_CTs!N17</f>
        <v>0</v>
      </c>
      <c r="O43" s="115">
        <f>Input_Data_LV_CTs!O17</f>
        <v>0</v>
      </c>
      <c r="P43" s="107"/>
    </row>
    <row r="44" spans="1:16" ht="41.5" customHeight="1" x14ac:dyDescent="0.35">
      <c r="A44" s="163"/>
      <c r="B44" s="148" t="s">
        <v>98</v>
      </c>
      <c r="C44" s="144" t="str">
        <f>Input_Data_LV_CTs!L39</f>
        <v>This CT is intended for use inside a transformer filled with mineral oil.</v>
      </c>
      <c r="D44" s="145" t="str">
        <f>Input_Data_LV_CTs!M39</f>
        <v>This CT is intended for use inside a transformer filled with mineral oil.</v>
      </c>
      <c r="E44" s="145" t="str">
        <f>Input_Data_LV_CTs!N39</f>
        <v>This CT is intended for use inside a transformer filled with mineral oil.</v>
      </c>
      <c r="F44" s="146" t="str">
        <f>Input_Data_LV_CTs!O39</f>
        <v>This CT is intended for use inside a transformer filled with mineral oil.</v>
      </c>
      <c r="G44" s="165"/>
      <c r="H44" s="136"/>
      <c r="J44" s="107"/>
      <c r="K44" s="242"/>
      <c r="L44" s="115">
        <f>Input_Data_LV_CTs!L18</f>
        <v>0</v>
      </c>
      <c r="M44" s="115">
        <f>Input_Data_LV_CTs!M18</f>
        <v>0</v>
      </c>
      <c r="N44" s="115">
        <f>Input_Data_LV_CTs!N18</f>
        <v>0</v>
      </c>
      <c r="O44" s="115">
        <f>Input_Data_LV_CTs!O18</f>
        <v>0</v>
      </c>
      <c r="P44" s="107"/>
    </row>
    <row r="45" spans="1:16" x14ac:dyDescent="0.35">
      <c r="A45" s="163"/>
      <c r="B45" s="148" t="s">
        <v>0</v>
      </c>
      <c r="C45" s="144" t="str">
        <f>Input_Data_LV_CTs!L40</f>
        <v>Metering</v>
      </c>
      <c r="D45" s="145" t="str">
        <f>Input_Data_LV_CTs!M40</f>
        <v>Differential CT</v>
      </c>
      <c r="E45" s="145" t="str">
        <f>Input_Data_LV_CTs!N40</f>
        <v>LV WTI CT</v>
      </c>
      <c r="F45" s="146" t="str">
        <f>Input_Data_LV_CTs!O40</f>
        <v>LDC CT</v>
      </c>
      <c r="G45" s="165"/>
      <c r="H45" s="136"/>
      <c r="J45" s="107"/>
      <c r="K45" s="242"/>
      <c r="L45" s="115">
        <f>Input_Data_LV_CTs!L19</f>
        <v>0</v>
      </c>
      <c r="M45" s="115">
        <f>Input_Data_LV_CTs!M19</f>
        <v>0</v>
      </c>
      <c r="N45" s="115">
        <f>Input_Data_LV_CTs!N19</f>
        <v>0</v>
      </c>
      <c r="O45" s="115">
        <f>Input_Data_LV_CTs!O19</f>
        <v>0</v>
      </c>
      <c r="P45" s="107"/>
    </row>
    <row r="46" spans="1:16" x14ac:dyDescent="0.35">
      <c r="A46" s="163"/>
      <c r="B46" s="148" t="s">
        <v>35</v>
      </c>
      <c r="C46" s="144">
        <f>Input_Data_LV_CTs!L41</f>
        <v>0</v>
      </c>
      <c r="D46" s="145">
        <f>Input_Data_LV_CTs!M41</f>
        <v>0</v>
      </c>
      <c r="E46" s="145">
        <f>Input_Data_LV_CTs!N41</f>
        <v>0</v>
      </c>
      <c r="F46" s="146">
        <f>Input_Data_LV_CTs!O41</f>
        <v>0</v>
      </c>
      <c r="G46" s="165"/>
      <c r="H46" s="136"/>
      <c r="J46" s="107"/>
      <c r="K46" s="242"/>
      <c r="L46" s="115">
        <f>Input_Data_LV_CTs!L20</f>
        <v>0</v>
      </c>
      <c r="M46" s="115">
        <f>Input_Data_LV_CTs!M20</f>
        <v>0</v>
      </c>
      <c r="N46" s="115">
        <f>Input_Data_LV_CTs!N20</f>
        <v>0</v>
      </c>
      <c r="O46" s="115">
        <f>Input_Data_LV_CTs!O20</f>
        <v>0</v>
      </c>
      <c r="P46" s="107"/>
    </row>
    <row r="47" spans="1:16" x14ac:dyDescent="0.35">
      <c r="A47" s="163"/>
      <c r="B47" s="148" t="s">
        <v>6</v>
      </c>
      <c r="C47" s="144">
        <f>Input_Data_LV_CTs!L42</f>
        <v>1</v>
      </c>
      <c r="D47" s="145">
        <f>Input_Data_LV_CTs!M42</f>
        <v>1</v>
      </c>
      <c r="E47" s="145">
        <f>Input_Data_LV_CTs!N42</f>
        <v>0</v>
      </c>
      <c r="F47" s="146">
        <f>Input_Data_LV_CTs!O42</f>
        <v>1</v>
      </c>
      <c r="G47" s="165"/>
      <c r="H47" s="136"/>
      <c r="J47" s="107"/>
      <c r="K47" s="111"/>
      <c r="L47" s="117"/>
      <c r="M47" s="117"/>
      <c r="N47" s="117"/>
      <c r="O47" s="118"/>
      <c r="P47" s="107"/>
    </row>
    <row r="48" spans="1:16" ht="15" thickBot="1" x14ac:dyDescent="0.4">
      <c r="A48" s="163"/>
      <c r="B48" s="148" t="s">
        <v>7</v>
      </c>
      <c r="C48" s="144">
        <f>Input_Data_LV_CTs!L43</f>
        <v>1</v>
      </c>
      <c r="D48" s="145">
        <f>Input_Data_LV_CTs!M43</f>
        <v>1</v>
      </c>
      <c r="E48" s="145">
        <f>Input_Data_LV_CTs!N43</f>
        <v>1</v>
      </c>
      <c r="F48" s="146">
        <f>Input_Data_LV_CTs!O43</f>
        <v>0</v>
      </c>
      <c r="G48" s="165"/>
      <c r="H48" s="136"/>
      <c r="J48" s="107"/>
      <c r="K48" s="119"/>
      <c r="L48" s="120"/>
      <c r="M48" s="120"/>
      <c r="N48" s="120"/>
      <c r="O48" s="121"/>
      <c r="P48" s="107"/>
    </row>
    <row r="49" spans="1:16" x14ac:dyDescent="0.35">
      <c r="A49" s="163"/>
      <c r="B49" s="148" t="s">
        <v>8</v>
      </c>
      <c r="C49" s="144">
        <f>Input_Data_LV_CTs!L44</f>
        <v>1</v>
      </c>
      <c r="D49" s="145">
        <f>Input_Data_LV_CTs!M44</f>
        <v>1</v>
      </c>
      <c r="E49" s="145">
        <f>Input_Data_LV_CTs!N44</f>
        <v>0</v>
      </c>
      <c r="F49" s="146">
        <f>Input_Data_LV_CTs!O44</f>
        <v>0</v>
      </c>
      <c r="G49" s="165"/>
      <c r="H49" s="136"/>
      <c r="J49" s="107"/>
      <c r="K49" s="106"/>
      <c r="L49" s="122"/>
      <c r="M49" s="122"/>
      <c r="N49" s="122"/>
      <c r="O49" s="123"/>
      <c r="P49" s="124"/>
    </row>
    <row r="50" spans="1:16" ht="15" thickBot="1" x14ac:dyDescent="0.4">
      <c r="A50" s="163"/>
      <c r="B50" s="148" t="s">
        <v>104</v>
      </c>
      <c r="C50" s="144">
        <f>Input_Data_LV_CTs!L45</f>
        <v>3</v>
      </c>
      <c r="D50" s="145">
        <f>Input_Data_LV_CTs!M45</f>
        <v>3</v>
      </c>
      <c r="E50" s="145">
        <f>Input_Data_LV_CTs!N45</f>
        <v>1</v>
      </c>
      <c r="F50" s="146">
        <f>Input_Data_LV_CTs!O45</f>
        <v>1</v>
      </c>
      <c r="G50" s="165"/>
      <c r="H50" s="136"/>
      <c r="J50" s="107"/>
      <c r="K50" s="111"/>
      <c r="L50" s="125" t="s">
        <v>111</v>
      </c>
      <c r="M50" s="125" t="s">
        <v>110</v>
      </c>
      <c r="N50" s="125" t="s">
        <v>109</v>
      </c>
      <c r="O50" s="126" t="s">
        <v>116</v>
      </c>
      <c r="P50" s="107"/>
    </row>
    <row r="51" spans="1:16" ht="29.5" thickBot="1" x14ac:dyDescent="0.4">
      <c r="A51" s="163"/>
      <c r="B51" s="149"/>
      <c r="C51" s="150">
        <f>Input_Data_LV_CTs!L46</f>
        <v>0</v>
      </c>
      <c r="D51" s="151">
        <f>Input_Data_LV_CTs!M46</f>
        <v>0</v>
      </c>
      <c r="E51" s="151" t="str">
        <f>Input_Data_LV_CTs!N46</f>
        <v>Total number of LV CTs</v>
      </c>
      <c r="F51" s="152">
        <f>Input_Data_LV_CTs!O46</f>
        <v>8</v>
      </c>
      <c r="G51" s="165"/>
      <c r="H51" s="136"/>
      <c r="J51" s="107"/>
      <c r="K51" s="243" t="s">
        <v>126</v>
      </c>
      <c r="L51" s="127" t="str">
        <f>Input_Data_LV_CTs!L25</f>
        <v>Ø X0</v>
      </c>
      <c r="M51" s="128">
        <f>Input_Data_LV_CTs!M25</f>
        <v>0.25</v>
      </c>
      <c r="N51" s="128">
        <f>Input_Data_LV_CTs!N25</f>
        <v>18</v>
      </c>
      <c r="O51" s="129" t="str">
        <f>Input_Data_LV_CTs!O25</f>
        <v>All CTs Fit</v>
      </c>
      <c r="P51" s="107"/>
    </row>
    <row r="52" spans="1:16" x14ac:dyDescent="0.35">
      <c r="A52" s="163"/>
      <c r="B52" s="138"/>
      <c r="C52" s="138"/>
      <c r="D52" s="138"/>
      <c r="E52" s="164"/>
      <c r="F52" s="138"/>
      <c r="G52" s="165"/>
      <c r="H52" s="136"/>
      <c r="J52" s="107"/>
      <c r="K52" s="243"/>
      <c r="L52" s="130" t="str">
        <f>Input_Data_LV_CTs!L26</f>
        <v>Ø X1</v>
      </c>
      <c r="M52" s="131">
        <f>Input_Data_LV_CTs!M26</f>
        <v>12.625</v>
      </c>
      <c r="N52" s="131">
        <f>Input_Data_LV_CTs!N26</f>
        <v>18</v>
      </c>
      <c r="O52" s="132" t="str">
        <f>Input_Data_LV_CTs!O26</f>
        <v>All CTs Fit</v>
      </c>
      <c r="P52" s="107"/>
    </row>
    <row r="53" spans="1:16" x14ac:dyDescent="0.35">
      <c r="A53" s="245" t="s">
        <v>172</v>
      </c>
      <c r="B53" s="246"/>
      <c r="C53" s="246"/>
      <c r="D53" s="246"/>
      <c r="E53" s="246"/>
      <c r="F53" s="246"/>
      <c r="G53" s="247"/>
      <c r="H53" s="136"/>
      <c r="J53" s="107"/>
      <c r="K53" s="243"/>
      <c r="L53" s="130" t="str">
        <f>Input_Data_LV_CTs!L27</f>
        <v>Ø X2</v>
      </c>
      <c r="M53" s="131">
        <f>Input_Data_LV_CTs!M27</f>
        <v>12.625</v>
      </c>
      <c r="N53" s="131">
        <f>Input_Data_LV_CTs!N27</f>
        <v>18</v>
      </c>
      <c r="O53" s="132" t="str">
        <f>Input_Data_LV_CTs!O27</f>
        <v>All CTs Fit</v>
      </c>
      <c r="P53" s="107"/>
    </row>
    <row r="54" spans="1:16" ht="15" thickBot="1" x14ac:dyDescent="0.4">
      <c r="A54" s="163"/>
      <c r="B54" s="138"/>
      <c r="C54" s="138"/>
      <c r="D54" s="138"/>
      <c r="E54" s="164"/>
      <c r="F54" s="138"/>
      <c r="G54" s="161"/>
      <c r="H54" s="136"/>
      <c r="J54" s="107"/>
      <c r="K54" s="244"/>
      <c r="L54" s="133" t="str">
        <f>Input_Data_LV_CTs!L28</f>
        <v>Ø X3</v>
      </c>
      <c r="M54" s="134">
        <f>Input_Data_LV_CTs!M28</f>
        <v>8.5</v>
      </c>
      <c r="N54" s="134">
        <f>Input_Data_LV_CTs!N28</f>
        <v>18</v>
      </c>
      <c r="O54" s="135" t="str">
        <f>Input_Data_LV_CTs!O28</f>
        <v>All CTs Fit</v>
      </c>
      <c r="P54" s="107"/>
    </row>
    <row r="55" spans="1:16" x14ac:dyDescent="0.35">
      <c r="A55" s="163"/>
      <c r="B55" s="139" t="s">
        <v>82</v>
      </c>
      <c r="C55" s="140" t="str">
        <f>Input_Data_TV_CTs!L30</f>
        <v>CT8</v>
      </c>
      <c r="D55" s="141" t="str">
        <f>Input_Data_TV_CTs!M30</f>
        <v>CT9</v>
      </c>
      <c r="E55" s="141" t="str">
        <f>Input_Data_TV_CTs!N30</f>
        <v>CT10</v>
      </c>
      <c r="F55" s="142" t="str">
        <f>Input_Data_TV_CTs!O30</f>
        <v/>
      </c>
      <c r="G55" s="161"/>
      <c r="H55" s="136"/>
      <c r="J55" s="137"/>
      <c r="K55" s="137"/>
      <c r="L55" s="137"/>
      <c r="M55" s="137"/>
      <c r="N55" s="137"/>
      <c r="O55" s="137"/>
      <c r="P55" s="137"/>
    </row>
    <row r="56" spans="1:16" x14ac:dyDescent="0.35">
      <c r="A56" s="163"/>
      <c r="B56" s="143" t="s">
        <v>20</v>
      </c>
      <c r="C56" s="144" t="str">
        <f>Input_Data_TV_CTs!L31</f>
        <v/>
      </c>
      <c r="D56" s="145" t="str">
        <f>Input_Data_TV_CTs!M31</f>
        <v/>
      </c>
      <c r="E56" s="145" t="str">
        <f>Input_Data_TV_CTs!N31</f>
        <v/>
      </c>
      <c r="F56" s="146" t="str">
        <f>Input_Data_TV_CTs!O31</f>
        <v/>
      </c>
      <c r="G56" s="161"/>
      <c r="H56" s="136"/>
    </row>
    <row r="57" spans="1:16" x14ac:dyDescent="0.35">
      <c r="A57" s="163"/>
      <c r="B57" s="143" t="s">
        <v>21</v>
      </c>
      <c r="C57" s="144" t="str">
        <f>Input_Data_TV_CTs!L32</f>
        <v/>
      </c>
      <c r="D57" s="145" t="str">
        <f>Input_Data_TV_CTs!M32</f>
        <v/>
      </c>
      <c r="E57" s="145" t="str">
        <f>Input_Data_TV_CTs!N32</f>
        <v/>
      </c>
      <c r="F57" s="146" t="str">
        <f>Input_Data_TV_CTs!O32</f>
        <v/>
      </c>
      <c r="G57" s="161"/>
      <c r="H57" s="136"/>
      <c r="J57" s="248" t="s">
        <v>171</v>
      </c>
      <c r="K57" s="248"/>
      <c r="L57" s="248"/>
      <c r="M57" s="248"/>
      <c r="N57" s="248"/>
      <c r="O57" s="248"/>
      <c r="P57" s="248"/>
    </row>
    <row r="58" spans="1:16" ht="15" thickBot="1" x14ac:dyDescent="0.4">
      <c r="A58" s="163"/>
      <c r="B58" s="143" t="s">
        <v>22</v>
      </c>
      <c r="C58" s="144" t="str">
        <f>Input_Data_TV_CTs!L33</f>
        <v/>
      </c>
      <c r="D58" s="145" t="str">
        <f>Input_Data_TV_CTs!M33</f>
        <v/>
      </c>
      <c r="E58" s="145" t="str">
        <f>Input_Data_TV_CTs!N33</f>
        <v/>
      </c>
      <c r="F58" s="146" t="str">
        <f>Input_Data_TV_CTs!O33</f>
        <v/>
      </c>
      <c r="G58" s="161"/>
      <c r="H58" s="136"/>
      <c r="J58" s="248"/>
      <c r="K58" s="248"/>
      <c r="L58" s="248"/>
      <c r="M58" s="248"/>
      <c r="N58" s="248"/>
      <c r="O58" s="248"/>
      <c r="P58" s="248"/>
    </row>
    <row r="59" spans="1:16" ht="29.5" thickBot="1" x14ac:dyDescent="0.4">
      <c r="A59" s="163"/>
      <c r="B59" s="143" t="s">
        <v>117</v>
      </c>
      <c r="C59" s="144" t="str">
        <f>Input_Data_TV_CTs!L34</f>
        <v>"</v>
      </c>
      <c r="D59" s="145" t="str">
        <f>Input_Data_TV_CTs!M34</f>
        <v>"</v>
      </c>
      <c r="E59" s="145" t="str">
        <f>Input_Data_TV_CTs!N34</f>
        <v>"</v>
      </c>
      <c r="F59" s="146" t="str">
        <f>Input_Data_TV_CTs!O34</f>
        <v>"</v>
      </c>
      <c r="G59" s="165"/>
      <c r="H59" s="136"/>
      <c r="J59" s="107"/>
      <c r="K59" s="249" t="s">
        <v>164</v>
      </c>
      <c r="L59" s="250"/>
      <c r="M59" s="250"/>
      <c r="N59" s="250"/>
      <c r="O59" s="251"/>
      <c r="P59" s="107"/>
    </row>
    <row r="60" spans="1:16" x14ac:dyDescent="0.35">
      <c r="A60" s="163"/>
      <c r="B60" s="143" t="s">
        <v>118</v>
      </c>
      <c r="C60" s="144" t="str">
        <f>Input_Data_TV_CTs!L35</f>
        <v/>
      </c>
      <c r="D60" s="145" t="str">
        <f>Input_Data_TV_CTs!M35</f>
        <v/>
      </c>
      <c r="E60" s="145" t="str">
        <f>Input_Data_TV_CTs!N35</f>
        <v/>
      </c>
      <c r="F60" s="146" t="str">
        <f>Input_Data_TV_CTs!O35</f>
        <v/>
      </c>
      <c r="G60" s="165"/>
      <c r="H60" s="136"/>
      <c r="J60" s="107"/>
      <c r="K60" s="252" t="s">
        <v>98</v>
      </c>
      <c r="L60" s="254"/>
      <c r="M60" s="255"/>
      <c r="N60" s="255"/>
      <c r="O60" s="256"/>
      <c r="P60" s="107"/>
    </row>
    <row r="61" spans="1:16" ht="15" thickBot="1" x14ac:dyDescent="0.4">
      <c r="A61" s="163"/>
      <c r="B61" s="143" t="s">
        <v>92</v>
      </c>
      <c r="C61" s="144" t="str">
        <f>Input_Data_TV_CTs!L36</f>
        <v/>
      </c>
      <c r="D61" s="145" t="str">
        <f>Input_Data_TV_CTs!M36</f>
        <v/>
      </c>
      <c r="E61" s="145" t="str">
        <f>Input_Data_TV_CTs!N36</f>
        <v/>
      </c>
      <c r="F61" s="146" t="str">
        <f>Input_Data_TV_CTs!O36</f>
        <v/>
      </c>
      <c r="G61" s="165"/>
      <c r="H61" s="136"/>
      <c r="J61" s="107"/>
      <c r="K61" s="253"/>
      <c r="L61" s="108"/>
      <c r="M61" s="109"/>
      <c r="N61" s="109"/>
      <c r="O61" s="110"/>
      <c r="P61" s="107"/>
    </row>
    <row r="62" spans="1:16" ht="15" thickBot="1" x14ac:dyDescent="0.4">
      <c r="A62" s="163"/>
      <c r="B62" s="147" t="s">
        <v>91</v>
      </c>
      <c r="C62" s="144" t="str">
        <f>Input_Data_TV_CTs!L37</f>
        <v/>
      </c>
      <c r="D62" s="145" t="str">
        <f>Input_Data_TV_CTs!M37</f>
        <v/>
      </c>
      <c r="E62" s="145" t="str">
        <f>Input_Data_TV_CTs!N37</f>
        <v/>
      </c>
      <c r="F62" s="146" t="str">
        <f>Input_Data_TV_CTs!O37</f>
        <v/>
      </c>
      <c r="G62" s="165"/>
      <c r="H62" s="136"/>
      <c r="J62" s="107"/>
      <c r="K62" s="111"/>
      <c r="L62" s="112" t="s">
        <v>155</v>
      </c>
      <c r="M62" s="113" t="s">
        <v>157</v>
      </c>
      <c r="N62" s="113" t="s">
        <v>159</v>
      </c>
      <c r="O62" s="114" t="s">
        <v>161</v>
      </c>
      <c r="P62" s="107"/>
    </row>
    <row r="63" spans="1:16" x14ac:dyDescent="0.35">
      <c r="A63" s="163"/>
      <c r="B63" s="143" t="s">
        <v>97</v>
      </c>
      <c r="C63" s="144" t="str">
        <f>Input_Data_TV_CTs!L38</f>
        <v/>
      </c>
      <c r="D63" s="145" t="str">
        <f>Input_Data_TV_CTs!M38</f>
        <v/>
      </c>
      <c r="E63" s="145" t="str">
        <f>Input_Data_TV_CTs!N38</f>
        <v/>
      </c>
      <c r="F63" s="146" t="str">
        <f>Input_Data_TV_CTs!O38</f>
        <v/>
      </c>
      <c r="G63" s="165"/>
      <c r="H63" s="136"/>
      <c r="J63" s="107"/>
      <c r="K63" s="241" t="s">
        <v>93</v>
      </c>
      <c r="L63" s="115" t="str">
        <f>Input_Data_TV_CTs!L10</f>
        <v/>
      </c>
      <c r="M63" s="115" t="str">
        <f>Input_Data_TV_CTs!M10</f>
        <v/>
      </c>
      <c r="N63" s="115" t="str">
        <f>Input_Data_TV_CTs!N10</f>
        <v/>
      </c>
      <c r="O63" s="115" t="str">
        <f>Input_Data_TV_CTs!O10</f>
        <v/>
      </c>
      <c r="P63" s="107"/>
    </row>
    <row r="64" spans="1:16" ht="25.5" customHeight="1" x14ac:dyDescent="0.35">
      <c r="A64" s="163"/>
      <c r="B64" s="148" t="s">
        <v>98</v>
      </c>
      <c r="C64" s="144" t="str">
        <f>Input_Data_TV_CTs!L39</f>
        <v/>
      </c>
      <c r="D64" s="145" t="str">
        <f>Input_Data_TV_CTs!M39</f>
        <v/>
      </c>
      <c r="E64" s="145" t="str">
        <f>Input_Data_TV_CTs!N39</f>
        <v/>
      </c>
      <c r="F64" s="146" t="str">
        <f>Input_Data_TV_CTs!O39</f>
        <v/>
      </c>
      <c r="G64" s="165"/>
      <c r="H64" s="136"/>
      <c r="J64" s="107"/>
      <c r="K64" s="242"/>
      <c r="L64" s="115">
        <f>Input_Data_TV_CTs!L11</f>
        <v>0</v>
      </c>
      <c r="M64" s="115">
        <f>Input_Data_TV_CTs!M11</f>
        <v>0</v>
      </c>
      <c r="N64" s="115">
        <f>Input_Data_TV_CTs!N11</f>
        <v>0</v>
      </c>
      <c r="O64" s="115">
        <f>Input_Data_TV_CTs!O11</f>
        <v>0</v>
      </c>
      <c r="P64" s="107"/>
    </row>
    <row r="65" spans="1:16" ht="33.5" customHeight="1" x14ac:dyDescent="0.35">
      <c r="A65" s="163"/>
      <c r="B65" s="148" t="s">
        <v>0</v>
      </c>
      <c r="C65" s="144" t="str">
        <f>Input_Data_TV_CTs!L40</f>
        <v/>
      </c>
      <c r="D65" s="145" t="str">
        <f>Input_Data_TV_CTs!M40</f>
        <v/>
      </c>
      <c r="E65" s="145" t="str">
        <f>Input_Data_TV_CTs!N40</f>
        <v/>
      </c>
      <c r="F65" s="146" t="str">
        <f>Input_Data_TV_CTs!O40</f>
        <v/>
      </c>
      <c r="G65" s="165"/>
      <c r="H65" s="136"/>
      <c r="J65" s="107"/>
      <c r="K65" s="242"/>
      <c r="L65" s="115">
        <f>Input_Data_TV_CTs!L12</f>
        <v>0</v>
      </c>
      <c r="M65" s="115">
        <f>Input_Data_TV_CTs!M12</f>
        <v>0</v>
      </c>
      <c r="N65" s="115">
        <f>Input_Data_TV_CTs!N12</f>
        <v>0</v>
      </c>
      <c r="O65" s="115">
        <f>Input_Data_TV_CTs!O12</f>
        <v>0</v>
      </c>
      <c r="P65" s="107"/>
    </row>
    <row r="66" spans="1:16" x14ac:dyDescent="0.35">
      <c r="A66" s="163"/>
      <c r="B66" s="148" t="s">
        <v>35</v>
      </c>
      <c r="C66" s="144" t="str">
        <f>Input_Data_TV_CTs!L41</f>
        <v/>
      </c>
      <c r="D66" s="145" t="str">
        <f>Input_Data_TV_CTs!M41</f>
        <v/>
      </c>
      <c r="E66" s="145" t="str">
        <f>Input_Data_TV_CTs!N41</f>
        <v/>
      </c>
      <c r="F66" s="146" t="str">
        <f>Input_Data_TV_CTs!O41</f>
        <v/>
      </c>
      <c r="G66" s="165"/>
      <c r="H66" s="136"/>
      <c r="J66" s="107"/>
      <c r="K66" s="242"/>
      <c r="L66" s="115">
        <f>Input_Data_TV_CTs!L13</f>
        <v>0</v>
      </c>
      <c r="M66" s="115">
        <f>Input_Data_TV_CTs!M13</f>
        <v>0</v>
      </c>
      <c r="N66" s="115">
        <f>Input_Data_TV_CTs!N13</f>
        <v>0</v>
      </c>
      <c r="O66" s="115">
        <f>Input_Data_TV_CTs!O13</f>
        <v>0</v>
      </c>
      <c r="P66" s="107"/>
    </row>
    <row r="67" spans="1:16" x14ac:dyDescent="0.35">
      <c r="A67" s="163"/>
      <c r="B67" s="148" t="s">
        <v>6</v>
      </c>
      <c r="C67" s="144" t="str">
        <f>Input_Data_TV_CTs!L42</f>
        <v/>
      </c>
      <c r="D67" s="145" t="str">
        <f>Input_Data_TV_CTs!M42</f>
        <v/>
      </c>
      <c r="E67" s="145" t="str">
        <f>Input_Data_TV_CTs!N42</f>
        <v/>
      </c>
      <c r="F67" s="146" t="str">
        <f>Input_Data_TV_CTs!O42</f>
        <v/>
      </c>
      <c r="G67" s="165"/>
      <c r="H67" s="136"/>
      <c r="J67" s="107"/>
      <c r="K67" s="242"/>
      <c r="L67" s="115">
        <f>Input_Data_TV_CTs!L14</f>
        <v>0</v>
      </c>
      <c r="M67" s="115">
        <f>Input_Data_TV_CTs!M14</f>
        <v>0</v>
      </c>
      <c r="N67" s="115">
        <f>Input_Data_TV_CTs!N14</f>
        <v>0</v>
      </c>
      <c r="O67" s="115">
        <f>Input_Data_TV_CTs!O14</f>
        <v>0</v>
      </c>
      <c r="P67" s="107"/>
    </row>
    <row r="68" spans="1:16" x14ac:dyDescent="0.35">
      <c r="A68" s="163"/>
      <c r="B68" s="148" t="s">
        <v>7</v>
      </c>
      <c r="C68" s="144" t="str">
        <f>Input_Data_TV_CTs!L43</f>
        <v/>
      </c>
      <c r="D68" s="145" t="str">
        <f>Input_Data_TV_CTs!M43</f>
        <v/>
      </c>
      <c r="E68" s="145" t="str">
        <f>Input_Data_TV_CTs!N43</f>
        <v/>
      </c>
      <c r="F68" s="146" t="str">
        <f>Input_Data_TV_CTs!O43</f>
        <v/>
      </c>
      <c r="G68" s="165"/>
      <c r="H68" s="136"/>
      <c r="J68" s="107"/>
      <c r="K68" s="242"/>
      <c r="L68" s="115">
        <f>Input_Data_TV_CTs!L15</f>
        <v>0</v>
      </c>
      <c r="M68" s="115">
        <f>Input_Data_TV_CTs!M15</f>
        <v>0</v>
      </c>
      <c r="N68" s="115">
        <f>Input_Data_TV_CTs!N15</f>
        <v>0</v>
      </c>
      <c r="O68" s="115">
        <f>Input_Data_TV_CTs!O15</f>
        <v>0</v>
      </c>
      <c r="P68" s="107"/>
    </row>
    <row r="69" spans="1:16" x14ac:dyDescent="0.35">
      <c r="A69" s="163"/>
      <c r="B69" s="148" t="s">
        <v>8</v>
      </c>
      <c r="C69" s="144">
        <f>Input_Data_TV_CTs!L44</f>
        <v>0</v>
      </c>
      <c r="D69" s="145" t="str">
        <f>Input_Data_TV_CTs!M44</f>
        <v/>
      </c>
      <c r="E69" s="145" t="str">
        <f>Input_Data_TV_CTs!N44</f>
        <v/>
      </c>
      <c r="F69" s="146" t="str">
        <f>Input_Data_TV_CTs!O44</f>
        <v/>
      </c>
      <c r="G69" s="165"/>
      <c r="H69" s="136"/>
      <c r="J69" s="107"/>
      <c r="K69" s="242"/>
      <c r="L69" s="115">
        <f>Input_Data_TV_CTs!L16</f>
        <v>0</v>
      </c>
      <c r="M69" s="115">
        <f>Input_Data_TV_CTs!M16</f>
        <v>0</v>
      </c>
      <c r="N69" s="115">
        <f>Input_Data_TV_CTs!N16</f>
        <v>0</v>
      </c>
      <c r="O69" s="115">
        <f>Input_Data_TV_CTs!O16</f>
        <v>0</v>
      </c>
      <c r="P69" s="107"/>
    </row>
    <row r="70" spans="1:16" x14ac:dyDescent="0.35">
      <c r="A70" s="163"/>
      <c r="B70" s="148" t="s">
        <v>104</v>
      </c>
      <c r="C70" s="144">
        <f>Input_Data_TV_CTs!L45</f>
        <v>0</v>
      </c>
      <c r="D70" s="145" t="str">
        <f>Input_Data_TV_CTs!M45</f>
        <v/>
      </c>
      <c r="E70" s="145" t="str">
        <f>Input_Data_TV_CTs!N45</f>
        <v/>
      </c>
      <c r="F70" s="146" t="str">
        <f>Input_Data_TV_CTs!O45</f>
        <v/>
      </c>
      <c r="G70" s="165"/>
      <c r="H70" s="136"/>
      <c r="J70" s="107"/>
      <c r="K70" s="242"/>
      <c r="L70" s="115">
        <f>Input_Data_TV_CTs!L17</f>
        <v>0</v>
      </c>
      <c r="M70" s="115">
        <f>Input_Data_TV_CTs!M17</f>
        <v>0</v>
      </c>
      <c r="N70" s="115">
        <f>Input_Data_TV_CTs!N17</f>
        <v>0</v>
      </c>
      <c r="O70" s="115">
        <f>Input_Data_TV_CTs!O17</f>
        <v>0</v>
      </c>
      <c r="P70" s="107"/>
    </row>
    <row r="71" spans="1:16" ht="29.5" thickBot="1" x14ac:dyDescent="0.4">
      <c r="A71" s="163"/>
      <c r="B71" s="149"/>
      <c r="C71" s="150">
        <f>Input_Data_TV_CTs!L46</f>
        <v>0</v>
      </c>
      <c r="D71" s="151">
        <f>Input_Data_TV_CTs!M46</f>
        <v>0</v>
      </c>
      <c r="E71" s="151" t="str">
        <f>Input_Data_TV_CTs!N46</f>
        <v>Total number of TV CTs</v>
      </c>
      <c r="F71" s="152">
        <f>Input_Data_TV_CTs!O46</f>
        <v>0</v>
      </c>
      <c r="G71" s="165"/>
      <c r="H71" s="136"/>
      <c r="J71" s="107"/>
      <c r="K71" s="242"/>
      <c r="L71" s="115">
        <f>Input_Data_TV_CTs!L18</f>
        <v>0</v>
      </c>
      <c r="M71" s="115">
        <f>Input_Data_TV_CTs!M18</f>
        <v>0</v>
      </c>
      <c r="N71" s="115">
        <f>Input_Data_TV_CTs!N18</f>
        <v>0</v>
      </c>
      <c r="O71" s="115">
        <f>Input_Data_TV_CTs!O18</f>
        <v>0</v>
      </c>
      <c r="P71" s="107"/>
    </row>
    <row r="72" spans="1:16" ht="29.5" customHeight="1" x14ac:dyDescent="0.35">
      <c r="A72" s="163"/>
      <c r="B72" s="138"/>
      <c r="C72" s="138"/>
      <c r="D72" s="138"/>
      <c r="E72" s="164"/>
      <c r="F72" s="138"/>
      <c r="G72" s="165"/>
      <c r="H72" s="136"/>
      <c r="J72" s="107"/>
      <c r="K72" s="242"/>
      <c r="L72" s="115">
        <f>Input_Data_TV_CTs!L19</f>
        <v>0</v>
      </c>
      <c r="M72" s="115">
        <f>Input_Data_TV_CTs!M19</f>
        <v>0</v>
      </c>
      <c r="N72" s="115">
        <f>Input_Data_TV_CTs!N19</f>
        <v>0</v>
      </c>
      <c r="O72" s="115">
        <f>Input_Data_TV_CTs!O19</f>
        <v>0</v>
      </c>
      <c r="P72" s="107"/>
    </row>
    <row r="73" spans="1:16" ht="27.5" customHeight="1" x14ac:dyDescent="0.35">
      <c r="A73" s="136"/>
      <c r="B73" s="136"/>
      <c r="C73" s="136"/>
      <c r="D73" s="136"/>
      <c r="E73" s="145" t="s">
        <v>175</v>
      </c>
      <c r="F73" s="204">
        <f>F31+F51+F71</f>
        <v>18</v>
      </c>
      <c r="G73" s="136"/>
      <c r="H73" s="136"/>
      <c r="J73" s="107"/>
      <c r="K73" s="242"/>
      <c r="L73" s="115">
        <f>Input_Data_TV_CTs!L20</f>
        <v>0</v>
      </c>
      <c r="M73" s="115">
        <f>Input_Data_TV_CTs!M20</f>
        <v>0</v>
      </c>
      <c r="N73" s="115">
        <f>Input_Data_TV_CTs!N20</f>
        <v>0</v>
      </c>
      <c r="O73" s="115">
        <f>Input_Data_TV_CTs!O20</f>
        <v>0</v>
      </c>
      <c r="P73" s="107"/>
    </row>
    <row r="74" spans="1:16" x14ac:dyDescent="0.35">
      <c r="A74" s="136"/>
      <c r="B74" s="136"/>
      <c r="C74" s="136"/>
      <c r="D74" s="136"/>
      <c r="E74" s="136"/>
      <c r="F74" s="136"/>
      <c r="G74" s="136"/>
      <c r="H74" s="136"/>
      <c r="J74" s="107"/>
      <c r="K74" s="111"/>
      <c r="L74" s="117"/>
      <c r="M74" s="117"/>
      <c r="N74" s="117"/>
      <c r="O74" s="118"/>
      <c r="P74" s="107"/>
    </row>
    <row r="75" spans="1:16" ht="15" thickBot="1" x14ac:dyDescent="0.4">
      <c r="A75" s="136"/>
      <c r="B75" s="136" t="s">
        <v>96</v>
      </c>
      <c r="C75" s="136"/>
      <c r="D75" s="136"/>
      <c r="E75" s="136"/>
      <c r="F75" s="136"/>
      <c r="G75" s="136"/>
      <c r="H75" s="136"/>
      <c r="J75" s="107"/>
      <c r="K75" s="119"/>
      <c r="L75" s="120"/>
      <c r="M75" s="120"/>
      <c r="N75" s="120"/>
      <c r="O75" s="121"/>
      <c r="P75" s="107"/>
    </row>
    <row r="76" spans="1:16" ht="26.5" customHeight="1" thickBot="1" x14ac:dyDescent="0.4">
      <c r="A76" s="136"/>
      <c r="B76" s="138" t="s">
        <v>176</v>
      </c>
      <c r="C76" s="292" t="str">
        <f>Input_Data_HV_CTs!L7</f>
        <v>1) As much as possible use same ID and OD for CT's located in the same bushing.</v>
      </c>
      <c r="D76" s="293"/>
      <c r="E76" s="293"/>
      <c r="F76" s="294"/>
      <c r="G76" s="136"/>
      <c r="H76" s="136"/>
      <c r="J76" s="107"/>
      <c r="K76" s="106"/>
      <c r="L76" s="122"/>
      <c r="M76" s="122"/>
      <c r="N76" s="122"/>
      <c r="O76" s="123"/>
      <c r="P76" s="124"/>
    </row>
    <row r="77" spans="1:16" ht="24" customHeight="1" thickBot="1" x14ac:dyDescent="0.4">
      <c r="A77" s="136"/>
      <c r="B77" s="138" t="s">
        <v>177</v>
      </c>
      <c r="C77" s="292" t="str">
        <f>Input_Data_LV_CTs!L7</f>
        <v>1) As much as possible use same ID and OD for CT's located in the same bushing.</v>
      </c>
      <c r="D77" s="293"/>
      <c r="E77" s="293"/>
      <c r="F77" s="294"/>
      <c r="G77" s="136"/>
      <c r="H77" s="136"/>
      <c r="J77" s="107"/>
      <c r="K77" s="111"/>
      <c r="L77" s="125" t="s">
        <v>111</v>
      </c>
      <c r="M77" s="125" t="s">
        <v>110</v>
      </c>
      <c r="N77" s="125" t="s">
        <v>109</v>
      </c>
      <c r="O77" s="126" t="s">
        <v>116</v>
      </c>
      <c r="P77" s="107"/>
    </row>
    <row r="78" spans="1:16" ht="23.5" customHeight="1" thickBot="1" x14ac:dyDescent="0.4">
      <c r="A78" s="136"/>
      <c r="B78" s="138" t="s">
        <v>178</v>
      </c>
      <c r="C78" s="292" t="str">
        <f>Input_Data_HV_CTs!L7</f>
        <v>1) As much as possible use same ID and OD for CT's located in the same bushing.</v>
      </c>
      <c r="D78" s="293"/>
      <c r="E78" s="293"/>
      <c r="F78" s="294"/>
      <c r="G78" s="136"/>
      <c r="H78" s="136"/>
      <c r="J78" s="107"/>
      <c r="K78" s="243" t="s">
        <v>126</v>
      </c>
      <c r="L78" s="127" t="str">
        <f>Input_Data_TV_CTs!L25</f>
        <v>Ø Y0</v>
      </c>
      <c r="M78" s="128">
        <f>Input_Data_TV_CTs!M25</f>
        <v>0.25</v>
      </c>
      <c r="N78" s="128">
        <f>Input_Data_TV_CTs!N25</f>
        <v>0</v>
      </c>
      <c r="O78" s="129" t="str">
        <f>Input_Data_TV_CTs!O25</f>
        <v>ERROR CTs don't fit</v>
      </c>
      <c r="P78" s="107"/>
    </row>
    <row r="79" spans="1:16" x14ac:dyDescent="0.35">
      <c r="A79" s="136"/>
      <c r="B79" s="291"/>
      <c r="C79" s="136"/>
      <c r="D79" s="136"/>
      <c r="E79" s="136"/>
      <c r="F79" s="136"/>
      <c r="G79" s="136"/>
      <c r="H79" s="136"/>
      <c r="J79" s="107"/>
      <c r="K79" s="243"/>
      <c r="L79" s="130" t="str">
        <f>Input_Data_TV_CTs!L26</f>
        <v>Ø Y1</v>
      </c>
      <c r="M79" s="131">
        <f>Input_Data_TV_CTs!M26</f>
        <v>0.25</v>
      </c>
      <c r="N79" s="131">
        <f>Input_Data_TV_CTs!N26</f>
        <v>21.655999999999999</v>
      </c>
      <c r="O79" s="132" t="str">
        <f>Input_Data_TV_CTs!O26</f>
        <v>All CTs Fit</v>
      </c>
      <c r="P79" s="107"/>
    </row>
    <row r="80" spans="1:16" x14ac:dyDescent="0.35">
      <c r="A80" s="136"/>
      <c r="B80" s="136"/>
      <c r="C80" s="136"/>
      <c r="D80" s="136"/>
      <c r="E80" s="136"/>
      <c r="F80" s="136"/>
      <c r="G80" s="136"/>
      <c r="H80" s="136"/>
      <c r="J80" s="107"/>
      <c r="K80" s="243"/>
      <c r="L80" s="130" t="str">
        <f>Input_Data_TV_CTs!L27</f>
        <v>Ø Y2</v>
      </c>
      <c r="M80" s="131">
        <f>Input_Data_TV_CTs!M27</f>
        <v>0.25</v>
      </c>
      <c r="N80" s="131">
        <f>Input_Data_TV_CTs!N27</f>
        <v>21.655999999999999</v>
      </c>
      <c r="O80" s="132" t="str">
        <f>Input_Data_TV_CTs!O27</f>
        <v>All CTs Fit</v>
      </c>
      <c r="P80" s="107"/>
    </row>
    <row r="81" spans="1:16" ht="15" thickBot="1" x14ac:dyDescent="0.4">
      <c r="A81" s="136"/>
      <c r="B81" s="136"/>
      <c r="C81" s="136"/>
      <c r="D81" s="136"/>
      <c r="E81" s="136"/>
      <c r="F81" s="136"/>
      <c r="G81" s="136"/>
      <c r="H81" s="136"/>
      <c r="J81" s="107"/>
      <c r="K81" s="244"/>
      <c r="L81" s="133" t="str">
        <f>Input_Data_TV_CTs!L28</f>
        <v>Ø Y3</v>
      </c>
      <c r="M81" s="134">
        <f>Input_Data_TV_CTs!M28</f>
        <v>0.25</v>
      </c>
      <c r="N81" s="134">
        <f>Input_Data_TV_CTs!N28</f>
        <v>21.655999999999999</v>
      </c>
      <c r="O81" s="135" t="str">
        <f>Input_Data_TV_CTs!O28</f>
        <v>All CTs Fit</v>
      </c>
      <c r="P81" s="107"/>
    </row>
    <row r="82" spans="1:16" x14ac:dyDescent="0.35">
      <c r="A82" s="136"/>
      <c r="B82" s="136"/>
      <c r="C82" s="136"/>
      <c r="D82" s="136"/>
      <c r="E82" s="136"/>
      <c r="F82" s="136"/>
      <c r="G82" s="136"/>
      <c r="H82" s="136"/>
      <c r="J82" s="137"/>
      <c r="K82" s="137"/>
      <c r="L82" s="137"/>
      <c r="M82" s="137"/>
      <c r="N82" s="137"/>
      <c r="O82" s="137"/>
      <c r="P82" s="137"/>
    </row>
    <row r="83" spans="1:16" x14ac:dyDescent="0.35">
      <c r="A83" s="136"/>
      <c r="B83" s="136"/>
      <c r="C83" s="136"/>
      <c r="D83" s="136"/>
      <c r="E83" s="136"/>
      <c r="F83" s="136"/>
      <c r="G83" s="136"/>
      <c r="H83" s="136"/>
    </row>
    <row r="84" spans="1:16" x14ac:dyDescent="0.35">
      <c r="A84" s="136"/>
      <c r="B84" s="136"/>
      <c r="C84" s="136"/>
      <c r="D84" s="136"/>
      <c r="E84" s="136"/>
      <c r="F84" s="136"/>
      <c r="G84" s="136"/>
      <c r="H84" s="136"/>
    </row>
    <row r="85" spans="1:16" x14ac:dyDescent="0.35">
      <c r="A85" s="136"/>
      <c r="B85" s="136"/>
      <c r="C85" s="136"/>
      <c r="D85" s="136"/>
      <c r="E85" s="136"/>
      <c r="F85" s="136"/>
      <c r="G85" s="136"/>
      <c r="H85" s="136"/>
    </row>
    <row r="86" spans="1:16" x14ac:dyDescent="0.35">
      <c r="A86" s="136"/>
      <c r="B86" s="136"/>
      <c r="C86" s="136"/>
      <c r="D86" s="136"/>
      <c r="E86" s="136"/>
      <c r="F86" s="136"/>
      <c r="G86" s="136"/>
      <c r="H86" s="136"/>
    </row>
    <row r="87" spans="1:16" x14ac:dyDescent="0.35">
      <c r="A87" s="136"/>
      <c r="B87" s="136"/>
      <c r="C87" s="136"/>
      <c r="D87" s="136"/>
      <c r="E87" s="136"/>
      <c r="F87" s="136"/>
      <c r="G87" s="136"/>
      <c r="H87" s="136"/>
    </row>
    <row r="88" spans="1:16" x14ac:dyDescent="0.35">
      <c r="A88" s="136"/>
      <c r="B88" s="136"/>
      <c r="C88" s="136"/>
      <c r="D88" s="136"/>
      <c r="E88" s="136"/>
      <c r="F88" s="136"/>
      <c r="G88" s="136"/>
      <c r="H88" s="136"/>
    </row>
  </sheetData>
  <mergeCells count="25">
    <mergeCell ref="F6:F9"/>
    <mergeCell ref="A33:G33"/>
    <mergeCell ref="A3:G4"/>
    <mergeCell ref="J3:P4"/>
    <mergeCell ref="C9:E9"/>
    <mergeCell ref="C8:E8"/>
    <mergeCell ref="K24:K27"/>
    <mergeCell ref="A13:G13"/>
    <mergeCell ref="K5:O5"/>
    <mergeCell ref="K6:K7"/>
    <mergeCell ref="L6:O6"/>
    <mergeCell ref="K9:K19"/>
    <mergeCell ref="J30:P31"/>
    <mergeCell ref="K32:O32"/>
    <mergeCell ref="K33:K34"/>
    <mergeCell ref="L33:O33"/>
    <mergeCell ref="K36:K46"/>
    <mergeCell ref="K63:K73"/>
    <mergeCell ref="K78:K81"/>
    <mergeCell ref="A53:G53"/>
    <mergeCell ref="K51:K54"/>
    <mergeCell ref="J57:P58"/>
    <mergeCell ref="K59:O59"/>
    <mergeCell ref="K60:K61"/>
    <mergeCell ref="L60:O60"/>
  </mergeCells>
  <dataValidations count="2">
    <dataValidation type="list" allowBlank="1" showInputMessage="1" showErrorMessage="1" sqref="D7" xr:uid="{EF24D207-889E-4EEF-B7C5-61274DF37A1C}">
      <formula1>$AE$3:$AE$5</formula1>
    </dataValidation>
    <dataValidation type="list" allowBlank="1" showInputMessage="1" showErrorMessage="1" sqref="C6" xr:uid="{21181690-B11F-41F2-9D9D-3D84092C2ACC}">
      <formula1>$AD$3:$AD$4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CF142-9637-4214-82F2-DA5C3F945646}">
  <sheetPr codeName="Sheet3"/>
  <dimension ref="A1:AM51"/>
  <sheetViews>
    <sheetView topLeftCell="A11" zoomScale="70" zoomScaleNormal="70" workbookViewId="0">
      <selection activeCell="C48" sqref="C48:F49"/>
    </sheetView>
  </sheetViews>
  <sheetFormatPr defaultRowHeight="13" x14ac:dyDescent="0.35"/>
  <cols>
    <col min="1" max="1" width="2.81640625" style="2" customWidth="1"/>
    <col min="2" max="2" width="25.453125" style="2" bestFit="1" customWidth="1"/>
    <col min="3" max="3" width="14" style="2" customWidth="1"/>
    <col min="4" max="4" width="16.26953125" style="2" customWidth="1"/>
    <col min="5" max="5" width="19.1796875" style="2" customWidth="1"/>
    <col min="6" max="6" width="11.08984375" style="2" customWidth="1"/>
    <col min="7" max="7" width="2.81640625" style="2" customWidth="1"/>
    <col min="8" max="8" width="7.7265625" style="2" customWidth="1"/>
    <col min="9" max="9" width="6.453125" style="2" customWidth="1"/>
    <col min="10" max="10" width="6.1796875" style="2" customWidth="1"/>
    <col min="11" max="11" width="5.36328125" style="2" customWidth="1"/>
    <col min="12" max="12" width="6.08984375" style="2" customWidth="1"/>
    <col min="13" max="13" width="12.1796875" style="2" customWidth="1"/>
    <col min="14" max="17" width="8.7265625" style="2"/>
    <col min="18" max="18" width="9.6328125" style="2" bestFit="1" customWidth="1"/>
    <col min="19" max="22" width="8.7265625" style="2"/>
    <col min="23" max="23" width="5.453125" style="2" bestFit="1" customWidth="1"/>
    <col min="24" max="24" width="7.1796875" style="2" bestFit="1" customWidth="1"/>
    <col min="25" max="25" width="9.36328125" style="2" bestFit="1" customWidth="1"/>
    <col min="26" max="26" width="8.81640625" style="2" bestFit="1" customWidth="1"/>
    <col min="27" max="27" width="6.90625" style="2" bestFit="1" customWidth="1"/>
    <col min="28" max="28" width="12" style="2" bestFit="1" customWidth="1"/>
    <col min="29" max="33" width="8.7265625" style="2"/>
    <col min="34" max="34" width="9.26953125" style="2" bestFit="1" customWidth="1"/>
    <col min="35" max="35" width="20.90625" style="2" bestFit="1" customWidth="1"/>
    <col min="36" max="37" width="8.6328125" style="2" bestFit="1" customWidth="1"/>
    <col min="38" max="38" width="6.90625" style="2" bestFit="1" customWidth="1"/>
    <col min="39" max="39" width="12" style="2" bestFit="1" customWidth="1"/>
    <col min="40" max="16384" width="8.7265625" style="2"/>
  </cols>
  <sheetData>
    <row r="1" spans="1:39" x14ac:dyDescent="0.35">
      <c r="A1" s="55"/>
      <c r="B1" s="55"/>
      <c r="C1" s="55"/>
      <c r="D1" s="55"/>
      <c r="E1" s="55"/>
      <c r="F1" s="55"/>
      <c r="G1" s="55"/>
    </row>
    <row r="2" spans="1:39" x14ac:dyDescent="0.35">
      <c r="A2" s="55"/>
      <c r="B2" s="274" t="s">
        <v>59</v>
      </c>
      <c r="C2" s="274"/>
      <c r="D2" s="274"/>
      <c r="E2" s="274"/>
      <c r="F2" s="274"/>
      <c r="G2" s="55"/>
    </row>
    <row r="3" spans="1:39" x14ac:dyDescent="0.35">
      <c r="A3" s="55"/>
      <c r="B3" s="55"/>
      <c r="C3" s="55"/>
      <c r="D3" s="55"/>
      <c r="E3" s="55"/>
      <c r="F3" s="55"/>
      <c r="G3" s="55"/>
      <c r="AH3" s="2" t="s">
        <v>45</v>
      </c>
      <c r="AI3" s="2" t="s">
        <v>61</v>
      </c>
    </row>
    <row r="4" spans="1:39" x14ac:dyDescent="0.35">
      <c r="A4" s="55"/>
      <c r="B4" s="274" t="s">
        <v>55</v>
      </c>
      <c r="C4" s="274"/>
      <c r="D4" s="274"/>
      <c r="E4" s="274"/>
      <c r="F4" s="274"/>
      <c r="G4" s="55"/>
      <c r="AH4" s="2" t="s">
        <v>41</v>
      </c>
      <c r="AI4" s="2" t="s">
        <v>62</v>
      </c>
    </row>
    <row r="5" spans="1:39" x14ac:dyDescent="0.35">
      <c r="A5" s="55"/>
      <c r="B5" s="25" t="s">
        <v>53</v>
      </c>
      <c r="C5" s="3" t="s">
        <v>41</v>
      </c>
      <c r="D5" s="3">
        <v>20</v>
      </c>
      <c r="E5" s="26"/>
      <c r="F5" s="26"/>
      <c r="G5" s="55"/>
      <c r="AH5" s="2" t="s">
        <v>46</v>
      </c>
      <c r="AI5" s="2" t="s">
        <v>74</v>
      </c>
    </row>
    <row r="6" spans="1:39" x14ac:dyDescent="0.35">
      <c r="A6" s="55"/>
      <c r="B6" s="25" t="s">
        <v>50</v>
      </c>
      <c r="C6" s="3">
        <v>5</v>
      </c>
      <c r="D6" s="26"/>
      <c r="E6" s="26"/>
      <c r="F6" s="26"/>
      <c r="G6" s="55"/>
      <c r="AI6" s="2" t="str">
        <f>""</f>
        <v/>
      </c>
    </row>
    <row r="7" spans="1:39" x14ac:dyDescent="0.35">
      <c r="A7" s="55"/>
      <c r="B7" s="25" t="s">
        <v>42</v>
      </c>
      <c r="C7" s="3">
        <v>20</v>
      </c>
      <c r="D7" s="26"/>
      <c r="E7" s="26"/>
      <c r="F7" s="26"/>
      <c r="G7" s="55"/>
    </row>
    <row r="8" spans="1:39" x14ac:dyDescent="0.35">
      <c r="A8" s="55"/>
      <c r="B8" s="25" t="s">
        <v>44</v>
      </c>
      <c r="C8" s="4">
        <f>VLOOKUP($D$5,$AI$14:$AM$20,5,FALSE)</f>
        <v>0.2</v>
      </c>
      <c r="D8" s="26"/>
      <c r="E8" s="26"/>
      <c r="F8" s="26"/>
      <c r="G8" s="55"/>
    </row>
    <row r="9" spans="1:39" x14ac:dyDescent="0.35">
      <c r="A9" s="55"/>
      <c r="B9" s="25" t="s">
        <v>52</v>
      </c>
      <c r="C9" s="4">
        <f>VLOOKUP($D$5,$AI$14:$AM$20,4,FALSE)</f>
        <v>5</v>
      </c>
      <c r="D9" s="26"/>
      <c r="E9" s="26"/>
      <c r="F9" s="26"/>
      <c r="G9" s="55"/>
    </row>
    <row r="10" spans="1:39" x14ac:dyDescent="0.35">
      <c r="A10" s="55"/>
      <c r="B10" s="25" t="s">
        <v>57</v>
      </c>
      <c r="C10" s="4">
        <f>C8*C9</f>
        <v>1</v>
      </c>
      <c r="D10" s="26"/>
      <c r="E10" s="26"/>
      <c r="F10" s="26"/>
      <c r="G10" s="55"/>
    </row>
    <row r="11" spans="1:39" x14ac:dyDescent="0.35">
      <c r="A11" s="55"/>
      <c r="B11" s="25" t="s">
        <v>49</v>
      </c>
      <c r="C11" s="4">
        <f>VLOOKUP($D$5,$AI$14:$AM$20,3,FALSE)</f>
        <v>10</v>
      </c>
      <c r="D11" s="26"/>
      <c r="E11" s="26"/>
      <c r="F11" s="26"/>
      <c r="G11" s="55"/>
    </row>
    <row r="12" spans="1:39" ht="15" thickBot="1" x14ac:dyDescent="0.4">
      <c r="A12" s="55"/>
      <c r="B12" s="53" t="s">
        <v>48</v>
      </c>
      <c r="C12" s="4">
        <f>VLOOKUP($D$5,$AI$14:$AM$20,2,FALSE)</f>
        <v>3</v>
      </c>
      <c r="D12" s="26"/>
      <c r="E12" s="26"/>
      <c r="F12" s="26"/>
      <c r="G12" s="55"/>
      <c r="H12" s="290"/>
      <c r="I12" s="290"/>
      <c r="J12" s="290"/>
      <c r="K12" s="290"/>
      <c r="L12" s="290"/>
      <c r="M12" s="290"/>
      <c r="AH12" s="290" t="s">
        <v>54</v>
      </c>
      <c r="AI12" s="290"/>
      <c r="AJ12" s="290"/>
      <c r="AK12" s="290"/>
      <c r="AL12" s="290"/>
      <c r="AM12" s="290"/>
    </row>
    <row r="13" spans="1:39" ht="44" thickBot="1" x14ac:dyDescent="0.4">
      <c r="A13" s="55"/>
      <c r="B13" s="27" t="s">
        <v>43</v>
      </c>
      <c r="C13" s="282" t="str">
        <f>"Accuracy "&amp;C5&amp;D5&amp;
" ~ Error "&amp;TEXT(C11,"±0.0")&amp;"% @ "&amp;C7&amp;
"×In ~ Burden "&amp;C9&amp;" VA"</f>
        <v>Accuracy C20 ~ Error ±10.0% @ 20×In ~ Burden 5 VA</v>
      </c>
      <c r="D13" s="282"/>
      <c r="E13" s="282"/>
      <c r="F13" s="283"/>
      <c r="G13" s="55"/>
      <c r="H13" s="1"/>
      <c r="I13" s="5"/>
      <c r="J13" s="5"/>
      <c r="K13" s="5"/>
      <c r="L13" s="5"/>
      <c r="AH13" s="1" t="s">
        <v>40</v>
      </c>
      <c r="AI13" s="5" t="s">
        <v>47</v>
      </c>
      <c r="AJ13" s="5" t="s">
        <v>48</v>
      </c>
      <c r="AK13" s="5" t="s">
        <v>49</v>
      </c>
      <c r="AL13" s="5" t="s">
        <v>52</v>
      </c>
      <c r="AM13" s="2" t="s">
        <v>51</v>
      </c>
    </row>
    <row r="14" spans="1:39" ht="14.5" x14ac:dyDescent="0.35">
      <c r="A14" s="55"/>
      <c r="B14" s="279" t="s">
        <v>0</v>
      </c>
      <c r="C14" s="284" t="str">
        <f>" The CT can withstand " &amp; C7 &amp; " Times the Nominal current with no saturation. The saturation limit is " &amp; D5 &amp; " V"</f>
        <v xml:space="preserve"> The CT can withstand 20 Times the Nominal current with no saturation. The saturation limit is 20 V</v>
      </c>
      <c r="D14" s="284"/>
      <c r="E14" s="284"/>
      <c r="F14" s="285"/>
      <c r="G14" s="55"/>
      <c r="I14" s="5"/>
      <c r="J14" s="6"/>
      <c r="K14" s="6"/>
      <c r="AH14" s="2" t="str">
        <f t="shared" ref="AH14:AH20" si="0">$C$5</f>
        <v>C</v>
      </c>
      <c r="AI14" s="5">
        <v>10</v>
      </c>
      <c r="AJ14" s="6">
        <v>3</v>
      </c>
      <c r="AK14" s="6">
        <v>10</v>
      </c>
      <c r="AL14" s="2">
        <v>2.5</v>
      </c>
      <c r="AM14" s="2">
        <f t="shared" ref="AM14:AM20" si="1">AL14/$C$6^2</f>
        <v>0.1</v>
      </c>
    </row>
    <row r="15" spans="1:39" ht="14.5" x14ac:dyDescent="0.35">
      <c r="A15" s="55"/>
      <c r="B15" s="280"/>
      <c r="C15" s="286"/>
      <c r="D15" s="286"/>
      <c r="E15" s="286"/>
      <c r="F15" s="287"/>
      <c r="G15" s="55"/>
      <c r="I15" s="5"/>
      <c r="J15" s="6"/>
      <c r="K15" s="6"/>
      <c r="AH15" s="2" t="str">
        <f t="shared" si="0"/>
        <v>C</v>
      </c>
      <c r="AI15" s="5">
        <v>20</v>
      </c>
      <c r="AJ15" s="6">
        <v>3</v>
      </c>
      <c r="AK15" s="6">
        <v>10</v>
      </c>
      <c r="AL15" s="2">
        <v>5</v>
      </c>
      <c r="AM15" s="2">
        <f t="shared" si="1"/>
        <v>0.2</v>
      </c>
    </row>
    <row r="16" spans="1:39" ht="15" thickBot="1" x14ac:dyDescent="0.4">
      <c r="A16" s="55"/>
      <c r="B16" s="281"/>
      <c r="C16" s="288"/>
      <c r="D16" s="288"/>
      <c r="E16" s="288"/>
      <c r="F16" s="289"/>
      <c r="G16" s="55"/>
      <c r="I16" s="5"/>
      <c r="J16" s="6"/>
      <c r="K16" s="6"/>
      <c r="AH16" s="2" t="str">
        <f t="shared" si="0"/>
        <v>C</v>
      </c>
      <c r="AI16" s="5">
        <v>50</v>
      </c>
      <c r="AJ16" s="6">
        <v>3</v>
      </c>
      <c r="AK16" s="6">
        <v>10</v>
      </c>
      <c r="AL16" s="2">
        <v>12.5</v>
      </c>
      <c r="AM16" s="2">
        <f t="shared" si="1"/>
        <v>0.5</v>
      </c>
    </row>
    <row r="17" spans="1:39" ht="14.5" customHeight="1" x14ac:dyDescent="0.35">
      <c r="A17" s="55"/>
      <c r="B17" s="54"/>
      <c r="C17" s="55"/>
      <c r="D17" s="55"/>
      <c r="E17" s="55"/>
      <c r="F17" s="55"/>
      <c r="G17" s="55"/>
      <c r="I17" s="5"/>
      <c r="J17" s="6"/>
      <c r="K17" s="6"/>
      <c r="L17" s="5"/>
      <c r="AH17" s="2" t="str">
        <f t="shared" si="0"/>
        <v>C</v>
      </c>
      <c r="AI17" s="5">
        <v>100</v>
      </c>
      <c r="AJ17" s="6">
        <v>3</v>
      </c>
      <c r="AK17" s="6">
        <v>10</v>
      </c>
      <c r="AL17" s="5">
        <v>25</v>
      </c>
      <c r="AM17" s="2">
        <f t="shared" si="1"/>
        <v>1</v>
      </c>
    </row>
    <row r="18" spans="1:39" ht="14.5" x14ac:dyDescent="0.35">
      <c r="A18" s="55"/>
      <c r="B18" s="274" t="s">
        <v>56</v>
      </c>
      <c r="C18" s="274"/>
      <c r="D18" s="274"/>
      <c r="E18" s="274"/>
      <c r="F18" s="274"/>
      <c r="G18" s="55"/>
      <c r="I18" s="5"/>
      <c r="J18" s="6"/>
      <c r="K18" s="6"/>
      <c r="L18" s="5"/>
      <c r="AH18" s="2" t="str">
        <f t="shared" si="0"/>
        <v>C</v>
      </c>
      <c r="AI18" s="5">
        <v>200</v>
      </c>
      <c r="AJ18" s="6">
        <v>3</v>
      </c>
      <c r="AK18" s="6">
        <v>10</v>
      </c>
      <c r="AL18" s="5">
        <v>50</v>
      </c>
      <c r="AM18" s="2">
        <f t="shared" si="1"/>
        <v>2</v>
      </c>
    </row>
    <row r="19" spans="1:39" ht="14.5" x14ac:dyDescent="0.35">
      <c r="A19" s="55"/>
      <c r="B19" s="25" t="s">
        <v>58</v>
      </c>
      <c r="C19" s="26"/>
      <c r="D19" s="3">
        <v>0.3</v>
      </c>
      <c r="E19" s="26"/>
      <c r="F19" s="26"/>
      <c r="G19" s="55"/>
      <c r="I19" s="5"/>
      <c r="J19" s="6"/>
      <c r="K19" s="6"/>
      <c r="L19" s="5"/>
      <c r="AH19" s="2" t="str">
        <f t="shared" si="0"/>
        <v>C</v>
      </c>
      <c r="AI19" s="5">
        <v>400</v>
      </c>
      <c r="AJ19" s="6">
        <v>3</v>
      </c>
      <c r="AK19" s="6">
        <v>10</v>
      </c>
      <c r="AL19" s="5">
        <v>100</v>
      </c>
      <c r="AM19" s="2">
        <f t="shared" si="1"/>
        <v>4</v>
      </c>
    </row>
    <row r="20" spans="1:39" ht="14.5" x14ac:dyDescent="0.35">
      <c r="A20" s="55"/>
      <c r="B20" s="25" t="s">
        <v>60</v>
      </c>
      <c r="C20" s="26"/>
      <c r="D20" s="3" t="s">
        <v>62</v>
      </c>
      <c r="E20" s="26"/>
      <c r="F20" s="26"/>
      <c r="G20" s="55"/>
      <c r="I20" s="5"/>
      <c r="AH20" s="2" t="str">
        <f t="shared" si="0"/>
        <v>C</v>
      </c>
      <c r="AI20" s="5">
        <v>800</v>
      </c>
      <c r="AJ20" s="6">
        <v>3</v>
      </c>
      <c r="AK20" s="6">
        <v>10</v>
      </c>
      <c r="AL20" s="5">
        <v>200</v>
      </c>
      <c r="AM20" s="2">
        <f t="shared" si="1"/>
        <v>8</v>
      </c>
    </row>
    <row r="21" spans="1:39" x14ac:dyDescent="0.35">
      <c r="A21" s="55"/>
      <c r="B21" s="25" t="s">
        <v>44</v>
      </c>
      <c r="C21" s="26"/>
      <c r="D21" s="3">
        <v>0.5</v>
      </c>
      <c r="E21" s="26"/>
      <c r="F21" s="26"/>
      <c r="G21" s="55"/>
    </row>
    <row r="22" spans="1:39" x14ac:dyDescent="0.35">
      <c r="A22" s="55"/>
      <c r="B22" s="25" t="s">
        <v>50</v>
      </c>
      <c r="C22" s="26"/>
      <c r="D22" s="3">
        <v>5</v>
      </c>
      <c r="E22" s="26"/>
      <c r="F22" s="26"/>
      <c r="G22" s="55"/>
    </row>
    <row r="23" spans="1:39" x14ac:dyDescent="0.35">
      <c r="A23" s="55"/>
      <c r="B23" s="25" t="s">
        <v>57</v>
      </c>
      <c r="C23" s="26"/>
      <c r="D23" s="4">
        <f>D22*D21</f>
        <v>2.5</v>
      </c>
      <c r="E23" s="26"/>
      <c r="F23" s="26"/>
      <c r="G23" s="55"/>
    </row>
    <row r="24" spans="1:39" x14ac:dyDescent="0.35">
      <c r="A24" s="55"/>
      <c r="B24" s="25" t="s">
        <v>52</v>
      </c>
      <c r="C24" s="26"/>
      <c r="D24" s="4">
        <f>D22^2*D21</f>
        <v>12.5</v>
      </c>
      <c r="E24" s="26"/>
      <c r="F24" s="26"/>
      <c r="G24" s="55"/>
    </row>
    <row r="25" spans="1:39" x14ac:dyDescent="0.35">
      <c r="A25" s="55"/>
      <c r="B25" s="25"/>
      <c r="C25" s="26"/>
      <c r="D25" s="26"/>
      <c r="E25" s="26"/>
      <c r="F25" s="26"/>
      <c r="G25" s="55"/>
    </row>
    <row r="26" spans="1:39" x14ac:dyDescent="0.35">
      <c r="A26" s="55"/>
      <c r="B26" s="25" t="s">
        <v>67</v>
      </c>
      <c r="C26" s="4" t="s">
        <v>94</v>
      </c>
      <c r="D26" s="4" t="s">
        <v>74</v>
      </c>
      <c r="E26" s="4" t="s">
        <v>62</v>
      </c>
      <c r="F26" s="26"/>
      <c r="G26" s="55"/>
    </row>
    <row r="27" spans="1:39" x14ac:dyDescent="0.35">
      <c r="A27" s="55"/>
      <c r="B27" s="25" t="s">
        <v>63</v>
      </c>
      <c r="C27" s="4" t="s">
        <v>66</v>
      </c>
      <c r="D27" s="4" t="s">
        <v>64</v>
      </c>
      <c r="E27" s="4" t="s">
        <v>75</v>
      </c>
      <c r="F27" s="26"/>
      <c r="G27" s="55"/>
    </row>
    <row r="28" spans="1:39" x14ac:dyDescent="0.35">
      <c r="A28" s="55"/>
      <c r="B28" s="25" t="s">
        <v>65</v>
      </c>
      <c r="C28" s="30">
        <f>D22</f>
        <v>5</v>
      </c>
      <c r="D28" s="29">
        <f>D22*0.1</f>
        <v>0.5</v>
      </c>
      <c r="E28" s="4">
        <f>D22*0.05</f>
        <v>0.25</v>
      </c>
      <c r="F28" s="26"/>
      <c r="G28" s="55"/>
    </row>
    <row r="29" spans="1:39" x14ac:dyDescent="0.35">
      <c r="A29" s="55"/>
      <c r="B29" s="25" t="s">
        <v>68</v>
      </c>
      <c r="C29" s="30">
        <f>C28+(C28*D19/100)</f>
        <v>5.0149999999999997</v>
      </c>
      <c r="D29" s="29">
        <f>D28+(D28*(D19*2/100))</f>
        <v>0.503</v>
      </c>
      <c r="E29" s="29">
        <f>E28+(E28*(D19/100))</f>
        <v>0.25074999999999997</v>
      </c>
      <c r="F29" s="26"/>
      <c r="G29" s="55"/>
    </row>
    <row r="30" spans="1:39" x14ac:dyDescent="0.35">
      <c r="A30" s="55"/>
      <c r="B30" s="25" t="s">
        <v>69</v>
      </c>
      <c r="C30" s="30">
        <f>C28-(C28*D19/100)</f>
        <v>4.9850000000000003</v>
      </c>
      <c r="D30" s="29">
        <f>D28-(D28*(D19*2/100))</f>
        <v>0.497</v>
      </c>
      <c r="E30" s="29">
        <f>E28-(E28*(D19/100))</f>
        <v>0.24925</v>
      </c>
      <c r="F30" s="26"/>
      <c r="G30" s="55"/>
    </row>
    <row r="31" spans="1:39" x14ac:dyDescent="0.35">
      <c r="A31" s="55"/>
      <c r="B31" s="25" t="s">
        <v>44</v>
      </c>
      <c r="C31" s="30">
        <f>D21</f>
        <v>0.5</v>
      </c>
      <c r="D31" s="29">
        <f>D21</f>
        <v>0.5</v>
      </c>
      <c r="E31" s="29">
        <f>D21</f>
        <v>0.5</v>
      </c>
      <c r="F31" s="26"/>
      <c r="G31" s="55"/>
    </row>
    <row r="32" spans="1:39" x14ac:dyDescent="0.35">
      <c r="A32" s="55"/>
      <c r="B32" s="25" t="s">
        <v>57</v>
      </c>
      <c r="C32" s="30">
        <f>C31*C28</f>
        <v>2.5</v>
      </c>
      <c r="D32" s="29">
        <f>D31*D28</f>
        <v>0.25</v>
      </c>
      <c r="E32" s="29">
        <f t="shared" ref="E32" si="2">E31*E28</f>
        <v>0.125</v>
      </c>
      <c r="F32" s="26"/>
      <c r="G32" s="55"/>
    </row>
    <row r="33" spans="1:7" x14ac:dyDescent="0.35">
      <c r="A33" s="55"/>
      <c r="B33" s="25" t="s">
        <v>52</v>
      </c>
      <c r="C33" s="30">
        <f>C32*C28</f>
        <v>12.5</v>
      </c>
      <c r="D33" s="29">
        <f t="shared" ref="D33:E33" si="3">D32*D28</f>
        <v>0.125</v>
      </c>
      <c r="E33" s="29">
        <f t="shared" si="3"/>
        <v>3.125E-2</v>
      </c>
      <c r="F33" s="26"/>
      <c r="G33" s="55"/>
    </row>
    <row r="34" spans="1:7" x14ac:dyDescent="0.35">
      <c r="A34" s="55"/>
      <c r="B34" s="25" t="s">
        <v>70</v>
      </c>
      <c r="C34" s="26"/>
      <c r="D34" s="4" t="str">
        <f>IF(D20="","Blank Case",HLOOKUP(D20,D26:E30,1))</f>
        <v>S</v>
      </c>
      <c r="E34" s="26"/>
      <c r="F34" s="26"/>
      <c r="G34" s="55"/>
    </row>
    <row r="35" spans="1:7" x14ac:dyDescent="0.35">
      <c r="A35" s="55"/>
      <c r="B35" s="25" t="s">
        <v>73</v>
      </c>
      <c r="C35" s="26"/>
      <c r="D35" s="4" t="str">
        <f>IF(D20="","",HLOOKUP(D20,D26:E30,2))</f>
        <v>5% In</v>
      </c>
      <c r="E35" s="26"/>
      <c r="F35" s="26"/>
      <c r="G35" s="55"/>
    </row>
    <row r="36" spans="1:7" x14ac:dyDescent="0.35">
      <c r="A36" s="55"/>
      <c r="B36" s="25" t="s">
        <v>65</v>
      </c>
      <c r="C36" s="26"/>
      <c r="D36" s="29">
        <f>IF(D20="","",HLOOKUP(D20,D26:E30,3))</f>
        <v>0.25</v>
      </c>
      <c r="E36" s="26"/>
      <c r="F36" s="26"/>
      <c r="G36" s="55"/>
    </row>
    <row r="37" spans="1:7" x14ac:dyDescent="0.35">
      <c r="A37" s="55"/>
      <c r="B37" s="25" t="s">
        <v>72</v>
      </c>
      <c r="C37" s="26"/>
      <c r="D37" s="29">
        <f>IF(D20="","",HLOOKUP(D20,D26:E30,4))</f>
        <v>0.25074999999999997</v>
      </c>
      <c r="E37" s="26"/>
      <c r="F37" s="26"/>
      <c r="G37" s="55"/>
    </row>
    <row r="38" spans="1:7" x14ac:dyDescent="0.35">
      <c r="A38" s="55"/>
      <c r="B38" s="25" t="s">
        <v>71</v>
      </c>
      <c r="C38" s="26"/>
      <c r="D38" s="29">
        <f>IF(D20="","",HLOOKUP(D20,D26:E30,5))</f>
        <v>0.24925</v>
      </c>
      <c r="E38" s="26"/>
      <c r="F38" s="26"/>
      <c r="G38" s="55"/>
    </row>
    <row r="39" spans="1:7" ht="13.5" thickBot="1" x14ac:dyDescent="0.4">
      <c r="A39" s="55"/>
      <c r="B39" s="55"/>
      <c r="C39" s="55"/>
      <c r="D39" s="55"/>
      <c r="E39" s="55"/>
      <c r="F39" s="55"/>
      <c r="G39" s="55"/>
    </row>
    <row r="40" spans="1:7" ht="13.5" thickBot="1" x14ac:dyDescent="0.4">
      <c r="A40" s="55"/>
      <c r="B40" s="27" t="s">
        <v>43</v>
      </c>
      <c r="C40" s="275" t="str">
        <f>D19&amp;D20&amp; " B "&amp; D21</f>
        <v>0.3S B 0.5</v>
      </c>
      <c r="D40" s="275"/>
      <c r="E40" s="275"/>
      <c r="F40" s="276"/>
      <c r="G40" s="55"/>
    </row>
    <row r="41" spans="1:7" x14ac:dyDescent="0.35">
      <c r="A41" s="55"/>
      <c r="B41" s="279" t="s">
        <v>0</v>
      </c>
      <c r="C41" s="277" t="str">
        <f>"When the nominal current ("&amp;D22&amp;" A) flows through the CT, it encounters an impedance of "&amp;D21&amp;" Ω @ "&amp;D23&amp;" V. The burden of "&amp;D24&amp;" VA indicates the maximum apparent power the CT can deliver at nominal current."</f>
        <v>When the nominal current (5 A) flows through the CT, it encounters an impedance of 0.5 Ω @ 2.5 V. The burden of 12.5 VA indicates the maximum apparent power the CT can deliver at nominal current.</v>
      </c>
      <c r="D41" s="277"/>
      <c r="E41" s="277"/>
      <c r="F41" s="278"/>
      <c r="G41" s="55"/>
    </row>
    <row r="42" spans="1:7" x14ac:dyDescent="0.35">
      <c r="A42" s="55"/>
      <c r="B42" s="280"/>
      <c r="C42" s="270"/>
      <c r="D42" s="270"/>
      <c r="E42" s="270"/>
      <c r="F42" s="271"/>
      <c r="G42" s="55"/>
    </row>
    <row r="43" spans="1:7" x14ac:dyDescent="0.35">
      <c r="A43" s="55"/>
      <c r="B43" s="280"/>
      <c r="C43" s="270"/>
      <c r="D43" s="270"/>
      <c r="E43" s="270"/>
      <c r="F43" s="271"/>
      <c r="G43" s="55"/>
    </row>
    <row r="44" spans="1:7" x14ac:dyDescent="0.35">
      <c r="A44" s="55"/>
      <c r="B44" s="280"/>
      <c r="C44" s="26"/>
      <c r="D44" s="26"/>
      <c r="E44" s="26"/>
      <c r="F44" s="28"/>
      <c r="G44" s="55"/>
    </row>
    <row r="45" spans="1:7" x14ac:dyDescent="0.35">
      <c r="A45" s="55"/>
      <c r="B45" s="280"/>
      <c r="C45" s="270" t="str">
        <f>IF(D20="","The CT has no sufix which means that the accuracy @ " &amp; C27 &amp; " will have full amperage range from " &amp; C30 &amp; " to " &amp; C29,"The CT has sufix ' " &amp; D20 &amp; " ' Which means that the accuracy @ " &amp; C27 &amp; " will have full amperage range from " &amp; C30 &amp; " to " &amp; C29)</f>
        <v>The CT has sufix ' S ' Which means that the accuracy @ 100% In will have full amperage range from 4.985 to 5.015</v>
      </c>
      <c r="D45" s="270"/>
      <c r="E45" s="270"/>
      <c r="F45" s="271"/>
      <c r="G45" s="55"/>
    </row>
    <row r="46" spans="1:7" x14ac:dyDescent="0.35">
      <c r="A46" s="55"/>
      <c r="B46" s="280"/>
      <c r="C46" s="270"/>
      <c r="D46" s="270"/>
      <c r="E46" s="270"/>
      <c r="F46" s="271"/>
      <c r="G46" s="55"/>
    </row>
    <row r="47" spans="1:7" x14ac:dyDescent="0.35">
      <c r="A47" s="55"/>
      <c r="B47" s="280"/>
      <c r="C47" s="26"/>
      <c r="D47" s="26"/>
      <c r="E47" s="26"/>
      <c r="F47" s="28"/>
      <c r="G47" s="55"/>
    </row>
    <row r="48" spans="1:7" x14ac:dyDescent="0.35">
      <c r="A48" s="55"/>
      <c r="B48" s="280"/>
      <c r="C48" s="270" t="str">
        <f>IF(D20="","","The CT has sufix ' " &amp; D20 &amp; " ' Which means that the accuracy @ " &amp; D35 &amp; " will have reduced amperage range from " &amp; D38 &amp; " to " &amp; D37)</f>
        <v>The CT has sufix ' S ' Which means that the accuracy @ 5% In will have reduced amperage range from 0.24925 to 0.25075</v>
      </c>
      <c r="D48" s="270"/>
      <c r="E48" s="270"/>
      <c r="F48" s="271"/>
      <c r="G48" s="55"/>
    </row>
    <row r="49" spans="1:7" ht="13.5" thickBot="1" x14ac:dyDescent="0.4">
      <c r="A49" s="55"/>
      <c r="B49" s="281"/>
      <c r="C49" s="272"/>
      <c r="D49" s="272"/>
      <c r="E49" s="272"/>
      <c r="F49" s="273"/>
      <c r="G49" s="55"/>
    </row>
    <row r="50" spans="1:7" x14ac:dyDescent="0.35">
      <c r="A50" s="55"/>
      <c r="B50" s="55"/>
      <c r="C50" s="55"/>
      <c r="D50" s="55"/>
      <c r="E50" s="55"/>
      <c r="F50" s="55"/>
      <c r="G50" s="55"/>
    </row>
    <row r="51" spans="1:7" x14ac:dyDescent="0.35">
      <c r="A51" s="55"/>
      <c r="B51" s="55"/>
      <c r="C51" s="55"/>
      <c r="D51" s="55"/>
      <c r="E51" s="55"/>
      <c r="F51" s="55"/>
      <c r="G51" s="55"/>
    </row>
  </sheetData>
  <mergeCells count="13">
    <mergeCell ref="B2:F2"/>
    <mergeCell ref="B14:B16"/>
    <mergeCell ref="C13:F13"/>
    <mergeCell ref="C14:F16"/>
    <mergeCell ref="AH12:AM12"/>
    <mergeCell ref="H12:M12"/>
    <mergeCell ref="B4:F4"/>
    <mergeCell ref="C45:F46"/>
    <mergeCell ref="C48:F49"/>
    <mergeCell ref="B18:F18"/>
    <mergeCell ref="C40:F40"/>
    <mergeCell ref="C41:F43"/>
    <mergeCell ref="B41:B49"/>
  </mergeCells>
  <dataValidations count="3">
    <dataValidation type="list" allowBlank="1" showInputMessage="1" showErrorMessage="1" sqref="C5" xr:uid="{3D2B29D3-090E-4CB9-988E-DED96D8AF73A}">
      <formula1>$AH$4:$AH$5</formula1>
    </dataValidation>
    <dataValidation type="list" allowBlank="1" showInputMessage="1" showErrorMessage="1" sqref="D20" xr:uid="{52F9F2B8-B1E5-4F4D-8A9D-680D8CF939AB}">
      <formula1>$AI$4:$AI$6</formula1>
    </dataValidation>
    <dataValidation type="list" allowBlank="1" showInputMessage="1" showErrorMessage="1" sqref="D5" xr:uid="{9ECC49B5-2ABD-4FEB-A624-C9B6B08E098B}">
      <formula1>$AI$14:$AI$20</formula1>
    </dataValidation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4E2BAB45C2E74C87037ABF6BF2FBC3" ma:contentTypeVersion="13" ma:contentTypeDescription="Create a new document." ma:contentTypeScope="" ma:versionID="cb59b07452dd44d84e00726ac86f19a1">
  <xsd:schema xmlns:xsd="http://www.w3.org/2001/XMLSchema" xmlns:xs="http://www.w3.org/2001/XMLSchema" xmlns:p="http://schemas.microsoft.com/office/2006/metadata/properties" xmlns:ns3="3be91055-d4bd-4f5f-b769-473b198ded69" xmlns:ns4="97a7f08e-b2b5-4093-8ee0-304042b2ff09" targetNamespace="http://schemas.microsoft.com/office/2006/metadata/properties" ma:root="true" ma:fieldsID="fcee101bd03bb7496357bb3a77fce36e" ns3:_="" ns4:_="">
    <xsd:import namespace="3be91055-d4bd-4f5f-b769-473b198ded69"/>
    <xsd:import namespace="97a7f08e-b2b5-4093-8ee0-304042b2ff0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91055-d4bd-4f5f-b769-473b198ded6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a7f08e-b2b5-4093-8ee0-304042b2ff0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be91055-d4bd-4f5f-b769-473b198ded69" xsi:nil="true"/>
  </documentManagement>
</p:properties>
</file>

<file path=customXml/itemProps1.xml><?xml version="1.0" encoding="utf-8"?>
<ds:datastoreItem xmlns:ds="http://schemas.openxmlformats.org/officeDocument/2006/customXml" ds:itemID="{667FF76E-56EC-46A4-BDB8-32E544F90D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be91055-d4bd-4f5f-b769-473b198ded69"/>
    <ds:schemaRef ds:uri="97a7f08e-b2b5-4093-8ee0-304042b2ff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7DA4CF-F5C5-4E44-8384-04DB1F8A4C8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BAF82F-5E20-4980-B3F2-D89BB905BBA6}">
  <ds:schemaRefs>
    <ds:schemaRef ds:uri="http://schemas.microsoft.com/office/infopath/2007/PartnerControls"/>
    <ds:schemaRef ds:uri="3be91055-d4bd-4f5f-b769-473b198ded69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purl.org/dc/elements/1.1/"/>
    <ds:schemaRef ds:uri="97a7f08e-b2b5-4093-8ee0-304042b2ff09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Input_Data_HV_CTs</vt:lpstr>
      <vt:lpstr>Input_Data_LV_CTs</vt:lpstr>
      <vt:lpstr>Input_Data_TV_CTs</vt:lpstr>
      <vt:lpstr>RFQ</vt:lpstr>
      <vt:lpstr>CT std</vt:lpstr>
      <vt:lpstr>Input_Data_LV_CTs!CT_APPLICATION_tb</vt:lpstr>
      <vt:lpstr>Input_Data_TV_CTs!CT_APPLICATION_tb</vt:lpstr>
      <vt:lpstr>CT_APPLICATION_tb</vt:lpstr>
      <vt:lpstr>Input_Data_LV_CTs!number_of_cts</vt:lpstr>
      <vt:lpstr>Input_Data_TV_CTs!number_of_cts</vt:lpstr>
      <vt:lpstr>number_of_cts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Gomez</dc:creator>
  <cp:lastModifiedBy>Juan Gomez</cp:lastModifiedBy>
  <dcterms:created xsi:type="dcterms:W3CDTF">2015-06-05T18:17:20Z</dcterms:created>
  <dcterms:modified xsi:type="dcterms:W3CDTF">2025-09-08T19:15:48Z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0x010100174E2BAB45C2E74C87037ABF6BF2FBC3</vt:lpwstr>
  </property>
</Properties>
</file>